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ustomProperty5.bin" ContentType="application/vnd.openxmlformats-officedocument.spreadsheetml.customProperty"/>
  <Override PartName="/xl/drawings/drawing9.xml" ContentType="application/vnd.openxmlformats-officedocument.drawing+xml"/>
  <Override PartName="/xl/customProperty6.bin" ContentType="application/vnd.openxmlformats-officedocument.spreadsheetml.customProperty"/>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ustomProperty7.bin" ContentType="application/vnd.openxmlformats-officedocument.spreadsheetml.customProperty"/>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defaultThemeVersion="124226"/>
  <xr:revisionPtr revIDLastSave="0" documentId="8_{FA337368-8653-4785-9156-DC2811168AEF}" xr6:coauthVersionLast="47" xr6:coauthVersionMax="47" xr10:uidLastSave="{00000000-0000-0000-0000-000000000000}"/>
  <bookViews>
    <workbookView xWindow="-110" yWindow="-110" windowWidth="19420" windowHeight="11500" tabRatio="899" activeTab="4" xr2:uid="{00000000-000D-0000-FFFF-FFFF00000000}"/>
  </bookViews>
  <sheets>
    <sheet name="Content" sheetId="11" r:id="rId1"/>
    <sheet name="General Definitions" sheetId="12" r:id="rId2"/>
    <sheet name="Key Figures Yearly" sheetId="5" r:id="rId3"/>
    <sheet name="Key Figures Quarterly" sheetId="6" r:id="rId4"/>
    <sheet name="Calc Key Figures" sheetId="25" r:id="rId5"/>
    <sheet name="Volume Quarterly" sheetId="26" r:id="rId6"/>
    <sheet name="Volume Monthly" sheetId="27" r:id="rId7"/>
    <sheet name="Revenue and EBIT walk" sheetId="21" r:id="rId8"/>
    <sheet name="Income Statement" sheetId="3" r:id="rId9"/>
    <sheet name="Revenue Geographical" sheetId="14" r:id="rId10"/>
    <sheet name="BS - Assets" sheetId="28" r:id="rId11"/>
    <sheet name="BS - Equity &amp; Liabilities" sheetId="29" r:id="rId12"/>
    <sheet name="Cash Flow" sheetId="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2" i="21" l="1"/>
  <c r="AJ33" i="21"/>
  <c r="AI32" i="21"/>
  <c r="AI33" i="21"/>
  <c r="BZ38" i="27"/>
  <c r="BY38" i="27"/>
  <c r="BX38" i="27"/>
  <c r="BW38" i="27"/>
  <c r="BV38" i="27"/>
  <c r="BU38" i="27"/>
  <c r="BP38" i="27"/>
  <c r="BO38" i="27"/>
  <c r="BN38" i="27"/>
  <c r="BM38" i="27"/>
  <c r="BL38" i="27"/>
  <c r="BK38" i="27"/>
  <c r="BZ37" i="27"/>
  <c r="BY37" i="27"/>
  <c r="BX37" i="27"/>
  <c r="BW37" i="27"/>
  <c r="BV37" i="27"/>
  <c r="BU37" i="27"/>
  <c r="BP37" i="27"/>
  <c r="BO37" i="27"/>
  <c r="BN37" i="27"/>
  <c r="BM37" i="27"/>
  <c r="BL37" i="27"/>
  <c r="BK37" i="27"/>
  <c r="BZ35" i="27"/>
  <c r="BY35" i="27"/>
  <c r="BX35" i="27"/>
  <c r="BW35" i="27"/>
  <c r="BV35" i="27"/>
  <c r="BU35" i="27"/>
  <c r="BP35" i="27"/>
  <c r="BO35" i="27"/>
  <c r="BN35" i="27"/>
  <c r="BM35" i="27"/>
  <c r="BW34" i="27"/>
  <c r="BV34" i="27"/>
  <c r="BU34" i="27"/>
  <c r="BT29" i="27"/>
  <c r="BM29" i="27"/>
  <c r="BL29" i="27"/>
  <c r="BL35" i="27" s="1"/>
  <c r="BK29" i="27"/>
  <c r="BT23" i="27"/>
  <c r="BM23" i="27"/>
  <c r="BL23" i="27"/>
  <c r="BK23" i="27"/>
  <c r="BK35" i="27" s="1"/>
  <c r="BT17" i="27"/>
  <c r="BM17" i="27"/>
  <c r="BL17" i="27"/>
  <c r="BK17" i="27"/>
  <c r="BM11" i="27"/>
  <c r="BL11" i="27"/>
  <c r="BK11" i="27"/>
  <c r="W41" i="26"/>
  <c r="V41" i="26"/>
  <c r="U41" i="26"/>
  <c r="W20" i="26"/>
  <c r="U20" i="26"/>
  <c r="T20" i="26"/>
  <c r="U19" i="26"/>
  <c r="T19" i="26"/>
  <c r="W16" i="26"/>
  <c r="W19" i="26" s="1"/>
  <c r="V16" i="26"/>
  <c r="V19" i="26" s="1"/>
  <c r="W14" i="26"/>
  <c r="V14" i="26"/>
  <c r="V20" i="26" s="1"/>
  <c r="AG20" i="21" l="1"/>
  <c r="AE19" i="4" l="1"/>
  <c r="O65" i="4"/>
  <c r="O34" i="4"/>
  <c r="O19" i="4"/>
  <c r="H23" i="6" l="1"/>
  <c r="H22" i="6"/>
  <c r="G22" i="6"/>
  <c r="H19" i="6"/>
  <c r="O43" i="5"/>
  <c r="G19" i="6" l="1"/>
  <c r="G16" i="6"/>
  <c r="W11" i="3" l="1"/>
  <c r="W12" i="3" s="1"/>
  <c r="V12" i="3"/>
  <c r="V11" i="3"/>
  <c r="V16" i="3" l="1"/>
  <c r="V15" i="3"/>
  <c r="M42" i="4" l="1"/>
  <c r="M45" i="4" s="1"/>
  <c r="M28" i="4"/>
  <c r="M29" i="4" s="1"/>
  <c r="M12" i="4"/>
  <c r="M65" i="4"/>
  <c r="M19" i="4" l="1"/>
  <c r="M30" i="4" s="1"/>
  <c r="M46" i="4" l="1"/>
  <c r="M66" i="4" l="1"/>
  <c r="M70" i="4" l="1"/>
  <c r="G41" i="6" l="1"/>
  <c r="I41" i="6" l="1"/>
  <c r="I46" i="6" s="1"/>
  <c r="S45" i="4"/>
  <c r="T45" i="4"/>
  <c r="U45" i="4"/>
  <c r="G23" i="6" s="1"/>
  <c r="W45" i="4"/>
  <c r="X45" i="4"/>
  <c r="Y45" i="4"/>
  <c r="X14" i="3"/>
  <c r="Y14" i="3"/>
  <c r="Z14" i="3"/>
  <c r="AA14" i="3"/>
  <c r="X15" i="3"/>
  <c r="Y15" i="3"/>
  <c r="Z15" i="3"/>
  <c r="AA15" i="3"/>
  <c r="X16" i="3"/>
  <c r="Y16" i="3"/>
  <c r="Z16" i="3"/>
  <c r="AA16" i="3"/>
  <c r="X11" i="3"/>
  <c r="Y11" i="3"/>
  <c r="Z11" i="3"/>
  <c r="AA11" i="3"/>
</calcChain>
</file>

<file path=xl/sharedStrings.xml><?xml version="1.0" encoding="utf-8"?>
<sst xmlns="http://schemas.openxmlformats.org/spreadsheetml/2006/main" count="2742" uniqueCount="479">
  <si>
    <t>Content</t>
  </si>
  <si>
    <t>General Definitions</t>
  </si>
  <si>
    <t>Key Figures Yearly</t>
  </si>
  <si>
    <t>Key Figures Quarterly</t>
  </si>
  <si>
    <t>Calc Key Figures</t>
  </si>
  <si>
    <t>Volume Quarterly</t>
  </si>
  <si>
    <t>Volume Monthly</t>
  </si>
  <si>
    <t>Revenue and EBIT walk</t>
  </si>
  <si>
    <t>Income Statement</t>
  </si>
  <si>
    <t>Revenue Geographical</t>
  </si>
  <si>
    <t>BS - Assets</t>
  </si>
  <si>
    <t>BS - Equity &amp; Liabilities</t>
  </si>
  <si>
    <t>Cash Flow</t>
  </si>
  <si>
    <t> </t>
  </si>
  <si>
    <t xml:space="preserve">Key word </t>
  </si>
  <si>
    <t>Description</t>
  </si>
  <si>
    <t>Volvo Car Group and Volvo Cars</t>
  </si>
  <si>
    <t>Volvo Car Group and Volvo Cars refers to Volvo Car AB (publ.), Volvo Car Corporation and all its subsidiaries. Volvo Car AB (publ.), with its registered office in Gothenburg, is a publicly listed company on the Nasdaq Stockholm Stock Exchange. The largest owner, holding 78.65% of shares and capital, is Geely Sweden Holdings AB, owned by Shanghai Geely Zhaoyuan International Investment Co., Ltd., registered in Shanghai, China, ultimately owned by Zhejiang Geely Holding Group Ltd., registered in Hangzhou, China. The remaining 18% of the shares are held by Nordic and international institutions as well as retail investors. Volvo Car AB (publ.) holds shares in its subsidiary Volvo Car Corporation and provides the Group with certain financing solutions. Volvo Car AB (publ.), indirectly through Volvo Car Corporation and its subsidiaries, operates in the automotive industry with business relating to the design, development, manufacturing, marketing and sales of cars and thereto related services. Volvo Car Group and its global operations are referred to as “Volvo Cars”.</t>
  </si>
  <si>
    <t>Asscoiated companies</t>
  </si>
  <si>
    <t>Associated companies are companies in which Volvo Car Group has a significant but not controlling influence, which generally is when Volvo Car Group holds between 20% and  50% of the shares.</t>
  </si>
  <si>
    <t>Joint venture companies (JVs)</t>
  </si>
  <si>
    <t>Joint ventures refer to companies in which Volvo Car Group, through contractual cooperation together with one or more parties, has joint control over the operational and financial management and has rights to the net assets of the arrangement.</t>
  </si>
  <si>
    <t>Retail sales</t>
  </si>
  <si>
    <t>Retail sales refer to sales to end customers (including a portion of cars used as customer loaner and demo cars) and is a relevant measure of the demand for Volvo Cars from an end customer point of view.</t>
  </si>
  <si>
    <t>Wholesales</t>
  </si>
  <si>
    <t>Wholesales refer to new car sales to dealers and other customers including rentals.</t>
  </si>
  <si>
    <t>Europe</t>
  </si>
  <si>
    <t>Europe is defined as EU (European Union) + EFTA (European Free Trade Association) + UK (United Kingdom).</t>
  </si>
  <si>
    <t>Passenger cars</t>
  </si>
  <si>
    <t>Passenger cars are vehicles with at least four wheels, used for the transport of passengers, and comprising no more than eight seats in addition to the driver’s seat.</t>
  </si>
  <si>
    <t>Traditional premium segment</t>
  </si>
  <si>
    <t>Traditional premium segment is the premium market brands such as Volvo Cars, Audi, BMW, Lexus, Mercedes, Tesla and so on.</t>
  </si>
  <si>
    <t>Battery Electric Vehicles (BEV)</t>
  </si>
  <si>
    <t>BEV cars include all vehicles which are 100% fully electrified cars.</t>
  </si>
  <si>
    <t>Non Battery Electric Vehicles (Non-BEV)</t>
  </si>
  <si>
    <t>Non-BEV cars include all vehicles which are not 100% fully electrified cars (BEV). For Volvo Cars, it includes plug-in hybid (PHEV), mild hybrid (MHEV) and internal combustion engine cars (ICE).</t>
  </si>
  <si>
    <t>Electrified cars</t>
  </si>
  <si>
    <t>Electrified cars include 100% fully electric cars, the same as the Battery Electric Vehicles (BEV), and Plug-in hybrids (PHEV), in both petrol and diesel with cord for charging.</t>
  </si>
  <si>
    <t>ICE</t>
  </si>
  <si>
    <t>Internal combustion engine, including all powertrain types except plug-in hybrids (PHEV) and fully electric vehicles (BEV).</t>
  </si>
  <si>
    <t>MHEV</t>
  </si>
  <si>
    <t>Mild hybrid electric vehicle utilises both a gas engine and an
electric motor. The MHEV is used to start the engine and brake or slow the car, thereby recovering brake energy that is stored in the 48V battery.</t>
  </si>
  <si>
    <t>Agency personnel</t>
  </si>
  <si>
    <t>Agency personnel is referred to as specific competence that is sourced externally and assigned to meet fluctuating business resource needs.</t>
  </si>
  <si>
    <t>Contract manufacturing</t>
  </si>
  <si>
    <t>A business model in which a third-party company is contracted for the production of goods or components over a specified contract period.</t>
  </si>
  <si>
    <t>Repurchase cars</t>
  </si>
  <si>
    <t>Cars under repurchase agreement are cars such as company
cars and cars sold to rental companies. These cars are sold under a contract with a commitment (the right or obligation to buy back the car).</t>
  </si>
  <si>
    <t>Gross margin</t>
  </si>
  <si>
    <t>Gross margin is defined as Gross income as a percentage of revenue. Gross margin presents the per cent of revenue that Volvo Cars retains after incurring the direct costs associated with producing the goods and services sold.</t>
  </si>
  <si>
    <t>EBIT</t>
  </si>
  <si>
    <t>EBIT is defined as Net income excluding financial income, financial expenses and Income taxes, that is operating income presented in the income statement. EBIT presents the operating income of Volvo Car Group.</t>
  </si>
  <si>
    <t>EBIT margin</t>
  </si>
  <si>
    <t xml:space="preserve">EBIT margin is defined as EBIT as a percentage of revenue. The EBIT margin presents the profitability of the operation in relation to the recognised revenue earned by Volvo Car Group during the accounting period. </t>
  </si>
  <si>
    <t>EBIT margin excl. share of income from JVs &amp; associates</t>
  </si>
  <si>
    <t>EBIT margin excl. share of income in JVs &amp; associates is defined as EBIT less the result from share of income in JVs &amp; associates. This presents the profitability of the operation excluding share of income in JVs &amp; associates during the accounting period.
EBIT margin excl. share of income in JVs &amp; associates is also presented as a percentage of revenue. The margin presents the profitability of the operation excluding share of income in JVs &amp; associates in relation to the recognised revenue earned by Volvo Car Group during the accounting period.</t>
  </si>
  <si>
    <t>EBITDA</t>
  </si>
  <si>
    <t xml:space="preserve">EBITDA is defined as EBIT excluding depreciation and amortisation of non-current assets. EBITDA presents an overview of the profitability of Volvo Car Group operations. </t>
  </si>
  <si>
    <t xml:space="preserve">EBITDA margin </t>
  </si>
  <si>
    <t>EBITDA margin is EBITDA as a percentage of revenue. The EBITDA margin presents the profitability of the operation in relation to the recognised revenue earned by the Group during the accounting period.</t>
  </si>
  <si>
    <t xml:space="preserve">Return on invested capital, ROIC </t>
  </si>
  <si>
    <t xml:space="preserve">ROIC is defined as EBIT divided by invested capital. Return on invested capital ratio gives an overview of how efficient Volvo Car Group is at allocating capital to profitable investments. Invested capital is the amount of net assets needed in day to day operations (total assets less receivables on parent company less other long-term securities holding less cash and cash equivalents less marketable securities plus operating cash (average two-year revenue*10 per cent) less total current liabilities to parent company plus total current interest-bearing liabilities (including liabilties to credit institutions, bonds current, other current interest bearing liabilities) calculated on two-year average figures. </t>
  </si>
  <si>
    <t xml:space="preserve">Equity ratio </t>
  </si>
  <si>
    <t xml:space="preserve">The equity ratio is defined as total equity divided by total assets in the balance sheet. This measures the Volvo Car Group’s long-term solvency and financial leverage level. </t>
  </si>
  <si>
    <t xml:space="preserve">Net cash </t>
  </si>
  <si>
    <t>Net cash is defined as cash, cash equivalents and marketable
securities less liabilities to credit institutions and bonds. Net cash represents Volvo Car Group’s ability to meet its financial obligations.</t>
  </si>
  <si>
    <t>Liquidity</t>
  </si>
  <si>
    <t>Liquidity is defined as cash, cash equivalents, undrawn credit
facilities and marketable securities.</t>
  </si>
  <si>
    <t>Items affecting comparability</t>
  </si>
  <si>
    <t>Transactions that are not related to recurring business operations and where the probability of reoccurrence over the coming years is limited.</t>
  </si>
  <si>
    <t>Shares of investing cash flow</t>
  </si>
  <si>
    <t>Share of investing Cash Flow is defined as the share of investing cash flow allocated to certain types of development as a percentage of the total investing cash flow. Share of investing cash flow presents the allocation the Group’s cash resources to certain investments during the reporting period.</t>
  </si>
  <si>
    <r>
      <t>Full Year
2012</t>
    </r>
    <r>
      <rPr>
        <b/>
        <vertAlign val="superscript"/>
        <sz val="11"/>
        <rFont val="Calibri"/>
        <family val="2"/>
      </rPr>
      <t>1)</t>
    </r>
  </si>
  <si>
    <r>
      <t>Full Year
2013</t>
    </r>
    <r>
      <rPr>
        <b/>
        <vertAlign val="superscript"/>
        <sz val="11"/>
        <rFont val="Calibri"/>
        <family val="2"/>
      </rPr>
      <t>1)</t>
    </r>
  </si>
  <si>
    <r>
      <t>Full Year
2014</t>
    </r>
    <r>
      <rPr>
        <b/>
        <vertAlign val="superscript"/>
        <sz val="11"/>
        <rFont val="Calibri"/>
        <family val="2"/>
      </rPr>
      <t>2)</t>
    </r>
  </si>
  <si>
    <r>
      <t>Full Year
2015</t>
    </r>
    <r>
      <rPr>
        <b/>
        <vertAlign val="superscript"/>
        <sz val="11"/>
        <rFont val="Calibri"/>
        <family val="2"/>
      </rPr>
      <t>3)4)5)6)</t>
    </r>
  </si>
  <si>
    <r>
      <t>Full Year
2016</t>
    </r>
    <r>
      <rPr>
        <b/>
        <vertAlign val="superscript"/>
        <sz val="11"/>
        <rFont val="Calibri"/>
        <family val="2"/>
      </rPr>
      <t>3)4)5)6)</t>
    </r>
  </si>
  <si>
    <r>
      <t>Full Year
2017</t>
    </r>
    <r>
      <rPr>
        <b/>
        <vertAlign val="superscript"/>
        <sz val="11"/>
        <rFont val="Calibri"/>
        <family val="2"/>
      </rPr>
      <t>4)5)6)</t>
    </r>
  </si>
  <si>
    <r>
      <t>Full year
2018</t>
    </r>
    <r>
      <rPr>
        <b/>
        <vertAlign val="superscript"/>
        <sz val="11"/>
        <rFont val="Calibri"/>
        <family val="2"/>
      </rPr>
      <t>6)</t>
    </r>
  </si>
  <si>
    <t>Full year
2019</t>
  </si>
  <si>
    <r>
      <t>Full year
2020</t>
    </r>
    <r>
      <rPr>
        <b/>
        <vertAlign val="superscript"/>
        <sz val="11"/>
        <rFont val="Calibri"/>
        <family val="2"/>
        <scheme val="minor"/>
      </rPr>
      <t>7)9)</t>
    </r>
  </si>
  <si>
    <r>
      <t>Full year
2021</t>
    </r>
    <r>
      <rPr>
        <b/>
        <vertAlign val="superscript"/>
        <sz val="11"/>
        <rFont val="Calibri"/>
        <family val="2"/>
        <scheme val="minor"/>
      </rPr>
      <t>7)8)9)</t>
    </r>
  </si>
  <si>
    <t>Full year
2022</t>
  </si>
  <si>
    <t>Full year
2023</t>
  </si>
  <si>
    <t>Retail sales, units</t>
  </si>
  <si>
    <t>Revenue, MSEK</t>
  </si>
  <si>
    <r>
      <t xml:space="preserve">Revenue per new car, BEV (SEKk) </t>
    </r>
    <r>
      <rPr>
        <b/>
        <vertAlign val="superscript"/>
        <sz val="11"/>
        <rFont val="Calibri"/>
        <family val="2"/>
      </rPr>
      <t>10)</t>
    </r>
  </si>
  <si>
    <t>ND</t>
  </si>
  <si>
    <r>
      <t xml:space="preserve">Revenue per new car, non-BEV (SEKk) </t>
    </r>
    <r>
      <rPr>
        <b/>
        <vertAlign val="superscript"/>
        <sz val="11"/>
        <rFont val="Calibri"/>
        <family val="2"/>
      </rPr>
      <t>10)</t>
    </r>
  </si>
  <si>
    <t>Research and development expenses, MSEK</t>
  </si>
  <si>
    <t>Operating income (EBIT), MSEK</t>
  </si>
  <si>
    <t>Operating income (EBIT) excl. share of income from JVs &amp; associates, MSEK</t>
  </si>
  <si>
    <t>Net income, MSEK</t>
  </si>
  <si>
    <t>Basic earnings per share, SEK</t>
  </si>
  <si>
    <t>N/A</t>
  </si>
  <si>
    <t>EBITDA, MSEK</t>
  </si>
  <si>
    <r>
      <t xml:space="preserve">Gross income per new car, BEV (SEKk) </t>
    </r>
    <r>
      <rPr>
        <b/>
        <vertAlign val="superscript"/>
        <sz val="11"/>
        <rFont val="Calibri"/>
        <family val="2"/>
      </rPr>
      <t>10)</t>
    </r>
  </si>
  <si>
    <r>
      <t xml:space="preserve">Gross income per new car, non-BEV (SEKk) </t>
    </r>
    <r>
      <rPr>
        <b/>
        <vertAlign val="superscript"/>
        <sz val="11"/>
        <rFont val="Calibri"/>
        <family val="2"/>
      </rPr>
      <t>10)</t>
    </r>
  </si>
  <si>
    <t>Cash flow from operating activities, MSEK</t>
  </si>
  <si>
    <t>Cash flow from investing activities, MSEK</t>
  </si>
  <si>
    <t>Net cash, MSEK</t>
  </si>
  <si>
    <t>Gross margin, %</t>
  </si>
  <si>
    <r>
      <t xml:space="preserve">Gross margin BEV, % </t>
    </r>
    <r>
      <rPr>
        <b/>
        <vertAlign val="superscript"/>
        <sz val="11"/>
        <rFont val="Calibri"/>
        <family val="2"/>
      </rPr>
      <t>10)</t>
    </r>
  </si>
  <si>
    <r>
      <t xml:space="preserve">Gross margin Non-BEV, % </t>
    </r>
    <r>
      <rPr>
        <b/>
        <vertAlign val="superscript"/>
        <sz val="11"/>
        <rFont val="Calibri"/>
        <family val="2"/>
      </rPr>
      <t>10)</t>
    </r>
  </si>
  <si>
    <t>EBIT margin, %</t>
  </si>
  <si>
    <t>EBIT margin excl. share of income from JVs &amp; associates, %</t>
  </si>
  <si>
    <t>EBITDA margin, %</t>
  </si>
  <si>
    <t>Equity ratio %</t>
  </si>
  <si>
    <r>
      <t xml:space="preserve">Share of investing cash flow BEV, % </t>
    </r>
    <r>
      <rPr>
        <b/>
        <vertAlign val="superscript"/>
        <sz val="11"/>
        <rFont val="Calibri"/>
        <family val="2"/>
      </rPr>
      <t>10)</t>
    </r>
  </si>
  <si>
    <r>
      <t xml:space="preserve">Share of investing cash flow non-BEV, % </t>
    </r>
    <r>
      <rPr>
        <b/>
        <vertAlign val="superscript"/>
        <sz val="11"/>
        <rFont val="Calibri"/>
        <family val="2"/>
      </rPr>
      <t>10)</t>
    </r>
  </si>
  <si>
    <r>
      <rPr>
        <b/>
        <sz val="11"/>
        <color rgb="FF000000"/>
        <rFont val="Calibri"/>
        <family val="2"/>
      </rPr>
      <t>Return on invested capital, ROIC, %</t>
    </r>
    <r>
      <rPr>
        <b/>
        <vertAlign val="superscript"/>
        <sz val="10"/>
        <color rgb="FF000000"/>
        <rFont val="Calibri"/>
        <family val="2"/>
      </rPr>
      <t>9)</t>
    </r>
  </si>
  <si>
    <t>ND = Not disclosed</t>
  </si>
  <si>
    <t>Items affecting comparability, MSEK</t>
  </si>
  <si>
    <t>Full Year
2012</t>
  </si>
  <si>
    <t>Full Year
2013*</t>
  </si>
  <si>
    <t>Full Year
2014**</t>
  </si>
  <si>
    <t>Full Year
2015***</t>
  </si>
  <si>
    <t>Full Year
2016***</t>
  </si>
  <si>
    <t>Full Year
2017***</t>
  </si>
  <si>
    <t>Full year
2018</t>
  </si>
  <si>
    <t>Full year
RESTATE
2020</t>
  </si>
  <si>
    <t>Full year
2021</t>
  </si>
  <si>
    <t>Whereof affecting JVs &amp; associates</t>
  </si>
  <si>
    <t>de-SPAC listing of Polestar, net effect</t>
  </si>
  <si>
    <t>-</t>
  </si>
  <si>
    <t xml:space="preserve">Share of income, Zenuity </t>
  </si>
  <si>
    <t>Valuation effect in connection with the private placement in Polestar Automotive Holding Ltd</t>
  </si>
  <si>
    <t>Subtotal</t>
  </si>
  <si>
    <t>Whereof affecting Volvo Cars operations</t>
  </si>
  <si>
    <t>Restructuring costs</t>
  </si>
  <si>
    <t>Governmental support related to Covid-19</t>
  </si>
  <si>
    <t>Total</t>
  </si>
  <si>
    <r>
      <t>1)</t>
    </r>
    <r>
      <rPr>
        <sz val="11"/>
        <rFont val="Calibri"/>
        <family val="2"/>
      </rPr>
      <t xml:space="preserve"> Not restated after the acquisitions of the Chinese industrial entities in 2015.</t>
    </r>
  </si>
  <si>
    <r>
      <t xml:space="preserve">2) </t>
    </r>
    <r>
      <rPr>
        <sz val="11"/>
        <rFont val="Calibri"/>
        <family val="2"/>
      </rPr>
      <t>The comparative figures for 2014 are restated to include the new Volvo Car Group structure including the acquired Chinese industrial entities. For further descriptions refer to the Volvo Car Group’s annual report 2015.</t>
    </r>
  </si>
  <si>
    <r>
      <t>3)</t>
    </r>
    <r>
      <rPr>
        <sz val="11"/>
        <rFont val="Calibri"/>
        <family val="2"/>
      </rPr>
      <t>2015 and 2016 year's net revenue has been restated to hedged currency rates.</t>
    </r>
  </si>
  <si>
    <r>
      <t>4)</t>
    </r>
    <r>
      <rPr>
        <sz val="11"/>
        <rFont val="Calibri"/>
        <family val="2"/>
      </rPr>
      <t xml:space="preserve"> In 2017, sold licenses have been reclassified from Other Operating Income to Net Revenue. The comparative periods (2015 and 2016) has been restated.</t>
    </r>
  </si>
  <si>
    <r>
      <t>5)</t>
    </r>
    <r>
      <rPr>
        <sz val="11"/>
        <rFont val="Calibri"/>
        <family val="2"/>
      </rPr>
      <t xml:space="preserve"> In 2017, costs have been reclassified from cost of sales to research and development. The comparative periods (2015 and 2016) has been restated.</t>
    </r>
  </si>
  <si>
    <r>
      <t>6)</t>
    </r>
    <r>
      <rPr>
        <sz val="11"/>
        <rFont val="Calibri"/>
        <family val="2"/>
      </rPr>
      <t xml:space="preserve"> 2018 there has been a change related to sale of certain cars accounted for as operating leasing. The comparative periods 2017, 2016 and 2015 have been changed accordingly, reducing net revenue and cost of sales. The change has not had any effect on gross income.</t>
    </r>
  </si>
  <si>
    <r>
      <t xml:space="preserve">7) </t>
    </r>
    <r>
      <rPr>
        <sz val="11"/>
        <rFont val="Calibri"/>
        <family val="2"/>
      </rPr>
      <t>In 2021, Dividends received from joint ventures and associates were reclassified from Investing to Operating activities and the comparative figures for 2020 have been adjusted accordingly.</t>
    </r>
  </si>
  <si>
    <r>
      <t>8)</t>
    </r>
    <r>
      <rPr>
        <sz val="11"/>
        <rFont val="Calibri"/>
        <family val="2"/>
      </rPr>
      <t xml:space="preserve"> In 2022, there has been a change in the elimination of internal profit related to sale of digital services from VCC to other entities within the Group. This change has resulted in a decrease of cost of sales, research and development expenses and selling expenses against an increase of administrative expenses. The comparative figures have been adjusted accordingly, but only for 2021, due to the reclassification for previous periods not having a material impact. The reclassification has no impact on EBIT.</t>
    </r>
  </si>
  <si>
    <r>
      <t>9)</t>
    </r>
    <r>
      <rPr>
        <sz val="11"/>
        <rFont val="Calibri"/>
        <family val="2"/>
      </rPr>
      <t xml:space="preserve"> In 2022, a prior period error was identified with regards to the recognition of a government grant in China. The comparative figures have been adjusted accordingly affecting 2020 and 2021.</t>
    </r>
  </si>
  <si>
    <r>
      <rPr>
        <vertAlign val="superscript"/>
        <sz val="11"/>
        <rFont val="Calibri"/>
        <family val="2"/>
        <scheme val="minor"/>
      </rPr>
      <t>10)</t>
    </r>
    <r>
      <rPr>
        <sz val="11"/>
        <rFont val="Calibri"/>
        <family val="2"/>
        <scheme val="minor"/>
      </rPr>
      <t xml:space="preserve"> The second quarter report 2024 is the last quarter where this information is presented.</t>
    </r>
  </si>
  <si>
    <t>Q1
2020</t>
  </si>
  <si>
    <t>Q2
2020</t>
  </si>
  <si>
    <t>Q3
2020</t>
  </si>
  <si>
    <t>Q4
2020</t>
  </si>
  <si>
    <r>
      <t>Q1
2021</t>
    </r>
    <r>
      <rPr>
        <b/>
        <vertAlign val="superscript"/>
        <sz val="11"/>
        <rFont val="Calibri"/>
        <family val="2"/>
        <scheme val="minor"/>
      </rPr>
      <t>1)</t>
    </r>
  </si>
  <si>
    <r>
      <t>Q2
2021</t>
    </r>
    <r>
      <rPr>
        <b/>
        <vertAlign val="superscript"/>
        <sz val="11"/>
        <rFont val="Calibri"/>
        <family val="2"/>
        <scheme val="minor"/>
      </rPr>
      <t>1)</t>
    </r>
  </si>
  <si>
    <r>
      <t>Q3
2021</t>
    </r>
    <r>
      <rPr>
        <b/>
        <vertAlign val="superscript"/>
        <sz val="11"/>
        <rFont val="Calibri"/>
        <family val="2"/>
        <scheme val="minor"/>
      </rPr>
      <t>1)</t>
    </r>
  </si>
  <si>
    <r>
      <t>Q4
2021</t>
    </r>
    <r>
      <rPr>
        <b/>
        <vertAlign val="superscript"/>
        <sz val="11"/>
        <rFont val="Calibri"/>
        <family val="2"/>
        <scheme val="minor"/>
      </rPr>
      <t>1)</t>
    </r>
  </si>
  <si>
    <t>Q1
2022</t>
  </si>
  <si>
    <t>Q2
2022</t>
  </si>
  <si>
    <t>Q3
2022</t>
  </si>
  <si>
    <t>Q4
2022</t>
  </si>
  <si>
    <t>Q1
2023</t>
  </si>
  <si>
    <t>Q2
2023</t>
  </si>
  <si>
    <t>Q3
2023</t>
  </si>
  <si>
    <t>Q4
2023</t>
  </si>
  <si>
    <t>Q1
2024</t>
  </si>
  <si>
    <t>Q2
2024</t>
  </si>
  <si>
    <t>Q3
2024</t>
  </si>
  <si>
    <r>
      <t xml:space="preserve">Revenue per new car, BEV (SEKk) </t>
    </r>
    <r>
      <rPr>
        <b/>
        <vertAlign val="superscript"/>
        <sz val="11"/>
        <rFont val="Calibri"/>
        <family val="2"/>
      </rPr>
      <t>2)</t>
    </r>
  </si>
  <si>
    <r>
      <t xml:space="preserve">Revenue per new car, non-BEV (SEKk) </t>
    </r>
    <r>
      <rPr>
        <b/>
        <vertAlign val="superscript"/>
        <sz val="11"/>
        <rFont val="Calibri"/>
        <family val="2"/>
      </rPr>
      <t>2)</t>
    </r>
  </si>
  <si>
    <t>Operating income (EBIT) excl. share of income from associates, MSEK</t>
  </si>
  <si>
    <r>
      <t xml:space="preserve">Gross income per new car, BEV (SEKk) </t>
    </r>
    <r>
      <rPr>
        <b/>
        <vertAlign val="superscript"/>
        <sz val="11"/>
        <rFont val="Calibri"/>
        <family val="2"/>
      </rPr>
      <t>2)</t>
    </r>
  </si>
  <si>
    <r>
      <t xml:space="preserve">Gross income per new car, non-BEV (SEKk) </t>
    </r>
    <r>
      <rPr>
        <b/>
        <vertAlign val="superscript"/>
        <sz val="11"/>
        <rFont val="Calibri"/>
        <family val="2"/>
      </rPr>
      <t>2)</t>
    </r>
  </si>
  <si>
    <r>
      <t xml:space="preserve">Gross margin BEV, % </t>
    </r>
    <r>
      <rPr>
        <b/>
        <vertAlign val="superscript"/>
        <sz val="11"/>
        <rFont val="Calibri"/>
        <family val="2"/>
      </rPr>
      <t>2)</t>
    </r>
  </si>
  <si>
    <r>
      <t xml:space="preserve">Gross margin Non-BEV, % </t>
    </r>
    <r>
      <rPr>
        <b/>
        <vertAlign val="superscript"/>
        <sz val="11"/>
        <rFont val="Calibri"/>
        <family val="2"/>
      </rPr>
      <t>2)</t>
    </r>
  </si>
  <si>
    <t>EBIT margin excl. Share of income from JV &amp; associates, %</t>
  </si>
  <si>
    <r>
      <t xml:space="preserve">Share of investing cash flow BEV, % </t>
    </r>
    <r>
      <rPr>
        <b/>
        <vertAlign val="superscript"/>
        <sz val="11"/>
        <rFont val="Calibri"/>
        <family val="2"/>
      </rPr>
      <t>2)</t>
    </r>
  </si>
  <si>
    <r>
      <t xml:space="preserve">Share of investing cash flow non-BEV, % </t>
    </r>
    <r>
      <rPr>
        <b/>
        <vertAlign val="superscript"/>
        <sz val="11"/>
        <rFont val="Calibri"/>
        <family val="2"/>
      </rPr>
      <t>2)</t>
    </r>
  </si>
  <si>
    <t>Q1
2021</t>
  </si>
  <si>
    <t>Q2
2021</t>
  </si>
  <si>
    <t>Q3
2021</t>
  </si>
  <si>
    <t>Q4
2021</t>
  </si>
  <si>
    <t>Where of affecting JVs &amp; associates</t>
  </si>
  <si>
    <t>Valuation effect from the private placement in Polestar Automotive Holding Ltd</t>
  </si>
  <si>
    <t>Where of affecting Volvo Cars operations</t>
  </si>
  <si>
    <r>
      <rPr>
        <vertAlign val="superscript"/>
        <sz val="11"/>
        <rFont val="Calibri"/>
        <family val="2"/>
        <scheme val="minor"/>
      </rPr>
      <t>1)</t>
    </r>
    <r>
      <rPr>
        <sz val="11"/>
        <rFont val="Calibri"/>
        <family val="2"/>
        <scheme val="minor"/>
      </rPr>
      <t xml:space="preserve"> In 2022, there has been a change in the elimination of internal profit related to sale of digital services from VCC to other entities within the Group. This change has resulted in a decrease of cost of sales, research and development expenses and selling expenses against an increase of administrative expenses. The comparative figures have been adjusted accordingly, but only for 2021, due to the reclassification for previous periods not having a material impact. The reclassification has no impact on EBIT.</t>
    </r>
  </si>
  <si>
    <r>
      <rPr>
        <vertAlign val="superscript"/>
        <sz val="11"/>
        <rFont val="Calibri"/>
        <family val="2"/>
        <scheme val="minor"/>
      </rPr>
      <t>2)</t>
    </r>
    <r>
      <rPr>
        <sz val="11"/>
        <rFont val="Calibri"/>
        <family val="2"/>
        <scheme val="minor"/>
      </rPr>
      <t xml:space="preserve"> The second quarter report 2024 is the last quarter where this information is presented.</t>
    </r>
  </si>
  <si>
    <t xml:space="preserve">Calculations for Key Figures </t>
  </si>
  <si>
    <t>Full year 2023</t>
  </si>
  <si>
    <t>Gross income</t>
  </si>
  <si>
    <t>Revenue</t>
  </si>
  <si>
    <t>Operating income, EBIT/EBIT margin, %</t>
  </si>
  <si>
    <t>Operating income, EBIT</t>
  </si>
  <si>
    <t>EBIT -and EBIT margin excl Share of income from JV &amp; Associates, %</t>
  </si>
  <si>
    <t>EBIT excl. Share of income from JV &amp; Associates</t>
  </si>
  <si>
    <t>EBIT margin, excl. Share of income from JV &amp; Associates %</t>
  </si>
  <si>
    <t>EBITDA/EBITDA margin, %</t>
  </si>
  <si>
    <t>Depreciation and amortisation of non-current assets</t>
  </si>
  <si>
    <t>EBITDA margin</t>
  </si>
  <si>
    <t>Operating cash (SEKm)</t>
  </si>
  <si>
    <t>Average two-year revenue x 10%</t>
  </si>
  <si>
    <t>Operating cash</t>
  </si>
  <si>
    <r>
      <t>Invested capital</t>
    </r>
    <r>
      <rPr>
        <b/>
        <vertAlign val="superscript"/>
        <sz val="11"/>
        <rFont val="Calibri"/>
        <family val="2"/>
      </rPr>
      <t>1)</t>
    </r>
    <r>
      <rPr>
        <b/>
        <sz val="11"/>
        <rFont val="Calibri"/>
        <family val="2"/>
      </rPr>
      <t xml:space="preserve"> (SEKm)</t>
    </r>
  </si>
  <si>
    <t>Total assets</t>
  </si>
  <si>
    <t>Receivables on parent company</t>
  </si>
  <si>
    <t>—</t>
  </si>
  <si>
    <t>Other long term securities holding</t>
  </si>
  <si>
    <t>Cash and cash equivalents</t>
  </si>
  <si>
    <t>Marketable securities</t>
  </si>
  <si>
    <t>Total current liabilites</t>
  </si>
  <si>
    <t>Current liabilties to parent company</t>
  </si>
  <si>
    <t>Total current interest-bearing liabilities</t>
  </si>
  <si>
    <t>Total invested capital</t>
  </si>
  <si>
    <t>1) Calculated on two years average figures</t>
  </si>
  <si>
    <t>Return on invested capital, ROIC, %</t>
  </si>
  <si>
    <t>EBIT (last twelve months)</t>
  </si>
  <si>
    <t>Invested capital</t>
  </si>
  <si>
    <t>Equity ratio, %</t>
  </si>
  <si>
    <t>Total equity</t>
  </si>
  <si>
    <t>Net cash (SEKm)</t>
  </si>
  <si>
    <t>Dec 31, 2023</t>
  </si>
  <si>
    <t>Liabilities to credit institutions (non-current)</t>
  </si>
  <si>
    <r>
      <t>Bonds (non-current)</t>
    </r>
    <r>
      <rPr>
        <vertAlign val="superscript"/>
        <sz val="11"/>
        <rFont val="Calibri"/>
        <family val="2"/>
      </rPr>
      <t>1)</t>
    </r>
  </si>
  <si>
    <t>Liabilities to credit institutions (current)</t>
  </si>
  <si>
    <t>Bonds (current)</t>
  </si>
  <si>
    <t>Undrawn credit facilities</t>
  </si>
  <si>
    <t>Unit</t>
  </si>
  <si>
    <t>China</t>
  </si>
  <si>
    <t>US</t>
  </si>
  <si>
    <t>Other</t>
  </si>
  <si>
    <t>Retail sales total</t>
  </si>
  <si>
    <t>Electrified vehicles</t>
  </si>
  <si>
    <t xml:space="preserve"> whereof BEV</t>
  </si>
  <si>
    <t xml:space="preserve"> whereof PHEV</t>
  </si>
  <si>
    <t>Electrified share</t>
  </si>
  <si>
    <t xml:space="preserve"> whereof BEV share</t>
  </si>
  <si>
    <t>Production volume</t>
  </si>
  <si>
    <t>EX40 (XC40 BEV)</t>
  </si>
  <si>
    <t>EC40 (C40 BEV)</t>
  </si>
  <si>
    <t>EX30</t>
  </si>
  <si>
    <t>EX90</t>
  </si>
  <si>
    <t>EM90</t>
  </si>
  <si>
    <t>XC60</t>
  </si>
  <si>
    <t>XC40 PHEV/ICE</t>
  </si>
  <si>
    <t>XC90</t>
  </si>
  <si>
    <t>S90</t>
  </si>
  <si>
    <t>V60/V60</t>
  </si>
  <si>
    <t>S60/S60</t>
  </si>
  <si>
    <t>V90/V90</t>
  </si>
  <si>
    <t>V40/V40</t>
  </si>
  <si>
    <t>Jan</t>
  </si>
  <si>
    <t>Feb</t>
  </si>
  <si>
    <t>Mar</t>
  </si>
  <si>
    <t>Apr</t>
  </si>
  <si>
    <t>May</t>
  </si>
  <si>
    <t>Jun</t>
  </si>
  <si>
    <t>Jul</t>
  </si>
  <si>
    <t>Aug</t>
  </si>
  <si>
    <t>Sep</t>
  </si>
  <si>
    <t>Oct</t>
  </si>
  <si>
    <t>Nov</t>
  </si>
  <si>
    <t>Dec</t>
  </si>
  <si>
    <t>June</t>
  </si>
  <si>
    <t>Maj</t>
  </si>
  <si>
    <t>Sept</t>
  </si>
  <si>
    <t>Electrified</t>
  </si>
  <si>
    <t>PHEV</t>
  </si>
  <si>
    <t>BEV</t>
  </si>
  <si>
    <t>EBIT and Revenue walk</t>
  </si>
  <si>
    <t>Changes to Operating income (EBIT), MSEK</t>
  </si>
  <si>
    <t>Full year
2020</t>
  </si>
  <si>
    <t>Q1
2018</t>
  </si>
  <si>
    <t>Q2
2018</t>
  </si>
  <si>
    <t>Q3
2018</t>
  </si>
  <si>
    <t>Q4
2018</t>
  </si>
  <si>
    <t>Q1
2019</t>
  </si>
  <si>
    <t>Q2
2019</t>
  </si>
  <si>
    <t>Q3
2019</t>
  </si>
  <si>
    <r>
      <t>Q4
2019</t>
    </r>
    <r>
      <rPr>
        <b/>
        <vertAlign val="superscript"/>
        <sz val="11"/>
        <rFont val="Calibri"/>
        <family val="2"/>
      </rPr>
      <t>1)</t>
    </r>
  </si>
  <si>
    <t>Q1 
2022</t>
  </si>
  <si>
    <t>Q1 
2023</t>
  </si>
  <si>
    <t>Opening balance</t>
  </si>
  <si>
    <t>Volume</t>
  </si>
  <si>
    <t xml:space="preserve">Sales mix and pricing </t>
  </si>
  <si>
    <t xml:space="preserve">Government grants </t>
  </si>
  <si>
    <t xml:space="preserve">Sale of licences </t>
  </si>
  <si>
    <t xml:space="preserve">Foreign exchange rates </t>
  </si>
  <si>
    <r>
      <t>Share of income in joint ventures and associates</t>
    </r>
    <r>
      <rPr>
        <vertAlign val="superscript"/>
        <sz val="11"/>
        <color rgb="FF000000"/>
        <rFont val="Calibri"/>
        <family val="2"/>
      </rPr>
      <t>2)</t>
    </r>
  </si>
  <si>
    <t>Items affecting comparability - Volvo Cars operations</t>
  </si>
  <si>
    <t>Items affecting comparability - Joint ventures and associates</t>
  </si>
  <si>
    <r>
      <t>Other</t>
    </r>
    <r>
      <rPr>
        <vertAlign val="superscript"/>
        <sz val="11"/>
        <color rgb="FF000000"/>
        <rFont val="Calibri"/>
        <family val="2"/>
      </rPr>
      <t>3)</t>
    </r>
  </si>
  <si>
    <t>Closing Balance</t>
  </si>
  <si>
    <t>Changes to Revenue, MSEK</t>
  </si>
  <si>
    <r>
      <t>Q4
2021</t>
    </r>
    <r>
      <rPr>
        <b/>
        <vertAlign val="superscript"/>
        <sz val="11"/>
        <rFont val="Calibri"/>
        <family val="2"/>
      </rPr>
      <t>5)</t>
    </r>
  </si>
  <si>
    <t>Deferred revenue</t>
  </si>
  <si>
    <r>
      <t>Contract manfacturing</t>
    </r>
    <r>
      <rPr>
        <vertAlign val="superscript"/>
        <sz val="11"/>
        <color rgb="FF000000"/>
        <rFont val="Calibri"/>
        <family val="2"/>
      </rPr>
      <t>4)</t>
    </r>
  </si>
  <si>
    <r>
      <t>Other</t>
    </r>
    <r>
      <rPr>
        <vertAlign val="superscript"/>
        <sz val="11"/>
        <color rgb="FF000000"/>
        <rFont val="Calibri"/>
        <family val="2"/>
      </rPr>
      <t>5)</t>
    </r>
  </si>
  <si>
    <r>
      <t xml:space="preserve">1) </t>
    </r>
    <r>
      <rPr>
        <sz val="10"/>
        <color rgb="FF000000"/>
        <rFont val="Calibri"/>
        <family val="2"/>
      </rPr>
      <t xml:space="preserve">Starting from Q4 2019, the Rental business effect is classified as Volume effect. </t>
    </r>
  </si>
  <si>
    <r>
      <t xml:space="preserve">2) </t>
    </r>
    <r>
      <rPr>
        <sz val="10"/>
        <color rgb="FF000000"/>
        <rFont val="Calibri"/>
        <family val="2"/>
      </rPr>
      <t>Excluding Items affecting comparability - Joint ventures and associates, until Q1 2022. In Q2 and Q3 2022, items affecting comparability - Joint ventures and associates, is included.</t>
    </r>
  </si>
  <si>
    <r>
      <t xml:space="preserve">3) </t>
    </r>
    <r>
      <rPr>
        <sz val="10"/>
        <color rgb="FF000000"/>
        <rFont val="Calibri"/>
        <family val="2"/>
      </rPr>
      <t>Mainly including used cars, parts and accessories, contract manufacturing, raw material increase and cost efficiencies.</t>
    </r>
  </si>
  <si>
    <r>
      <rPr>
        <vertAlign val="superscript"/>
        <sz val="10"/>
        <color theme="1"/>
        <rFont val="Calibri"/>
        <family val="2"/>
        <scheme val="minor"/>
      </rPr>
      <t>4)</t>
    </r>
    <r>
      <rPr>
        <sz val="10"/>
        <color theme="1"/>
        <rFont val="Calibri"/>
        <family val="2"/>
        <scheme val="minor"/>
      </rPr>
      <t xml:space="preserve"> In Q4 2021, Contract manufacturing was included in Other.</t>
    </r>
  </si>
  <si>
    <r>
      <t xml:space="preserve">5) </t>
    </r>
    <r>
      <rPr>
        <sz val="10"/>
        <color rgb="FF000000"/>
        <rFont val="Calibri"/>
        <family val="2"/>
      </rPr>
      <t>Including used cars, parts and accessories.</t>
    </r>
  </si>
  <si>
    <t>Yearly</t>
  </si>
  <si>
    <t>Quarterly</t>
  </si>
  <si>
    <t>MSEK</t>
  </si>
  <si>
    <r>
      <t>Full year
2020</t>
    </r>
    <r>
      <rPr>
        <b/>
        <vertAlign val="superscript"/>
        <sz val="11"/>
        <rFont val="Calibri"/>
        <family val="2"/>
      </rPr>
      <t>9)</t>
    </r>
  </si>
  <si>
    <r>
      <t>Full year
2021</t>
    </r>
    <r>
      <rPr>
        <b/>
        <vertAlign val="superscript"/>
        <sz val="11"/>
        <rFont val="Calibri"/>
        <family val="2"/>
      </rPr>
      <t>7)8)</t>
    </r>
  </si>
  <si>
    <r>
      <t>Q3
2020</t>
    </r>
    <r>
      <rPr>
        <b/>
        <vertAlign val="superscript"/>
        <sz val="11"/>
        <rFont val="Calibri"/>
        <family val="2"/>
      </rPr>
      <t>9)</t>
    </r>
  </si>
  <si>
    <r>
      <t>Q4
2020</t>
    </r>
    <r>
      <rPr>
        <b/>
        <vertAlign val="superscript"/>
        <sz val="11"/>
        <rFont val="Calibri"/>
        <family val="2"/>
      </rPr>
      <t>9)</t>
    </r>
  </si>
  <si>
    <r>
      <t>Q1
2021</t>
    </r>
    <r>
      <rPr>
        <b/>
        <vertAlign val="superscript"/>
        <sz val="11"/>
        <rFont val="Calibri"/>
        <family val="2"/>
        <scheme val="minor"/>
      </rPr>
      <t>8)</t>
    </r>
  </si>
  <si>
    <r>
      <t>Q2
2021</t>
    </r>
    <r>
      <rPr>
        <b/>
        <vertAlign val="superscript"/>
        <sz val="11"/>
        <rFont val="Calibri"/>
        <family val="2"/>
        <scheme val="minor"/>
      </rPr>
      <t>8)</t>
    </r>
  </si>
  <si>
    <r>
      <t>Q3
2021</t>
    </r>
    <r>
      <rPr>
        <b/>
        <vertAlign val="superscript"/>
        <sz val="11"/>
        <rFont val="Calibri"/>
        <family val="2"/>
        <scheme val="minor"/>
      </rPr>
      <t>8)</t>
    </r>
  </si>
  <si>
    <r>
      <t>Q4
2021</t>
    </r>
    <r>
      <rPr>
        <b/>
        <vertAlign val="superscript"/>
        <sz val="11"/>
        <rFont val="Calibri"/>
        <family val="2"/>
        <scheme val="minor"/>
      </rPr>
      <t>7)8)</t>
    </r>
  </si>
  <si>
    <t xml:space="preserve">Net revenue </t>
  </si>
  <si>
    <t xml:space="preserve">Cost of sales </t>
  </si>
  <si>
    <t xml:space="preserve">Gross income </t>
  </si>
  <si>
    <t xml:space="preserve">Research and development expenses </t>
  </si>
  <si>
    <t xml:space="preserve">Selling expenses </t>
  </si>
  <si>
    <t>Administrative expenses</t>
  </si>
  <si>
    <t>Other operating income and expenses</t>
  </si>
  <si>
    <t>Share of income in joint ventures and associates</t>
  </si>
  <si>
    <t>Operating income</t>
  </si>
  <si>
    <t>Interest income and similar credits</t>
  </si>
  <si>
    <t>Interest expenses and similar charges</t>
  </si>
  <si>
    <t>Other financial income and expenses</t>
  </si>
  <si>
    <t>Income before tax</t>
  </si>
  <si>
    <t>Income tax</t>
  </si>
  <si>
    <t>Net income for the period</t>
  </si>
  <si>
    <t>Net income attributable to</t>
  </si>
  <si>
    <t xml:space="preserve">Owners of the parent company </t>
  </si>
  <si>
    <t>Non-controlling interests</t>
  </si>
  <si>
    <r>
      <t>6)</t>
    </r>
    <r>
      <rPr>
        <sz val="11"/>
        <rFont val="Calibri"/>
        <family val="2"/>
      </rPr>
      <t xml:space="preserve"> In 2018, there has been a change related to sale of certain cars accounted for as operating leasing. The comparative periods 2017, 2016 and 2015 have been changed accordingly, reducing net revenue and cost of sales. The change has not had any effect on gross income.</t>
    </r>
  </si>
  <si>
    <r>
      <rPr>
        <vertAlign val="superscript"/>
        <sz val="11"/>
        <rFont val="Calibri"/>
        <family val="2"/>
        <scheme val="minor"/>
      </rPr>
      <t>7)</t>
    </r>
    <r>
      <rPr>
        <sz val="11"/>
        <rFont val="Calibri"/>
        <family val="2"/>
        <scheme val="minor"/>
      </rPr>
      <t xml:space="preserve"> In Q4 2021, market valuation has been moved from financial expense to financial income, affecting only the isolated quarter.</t>
    </r>
  </si>
  <si>
    <r>
      <rPr>
        <vertAlign val="superscript"/>
        <sz val="11"/>
        <rFont val="Calibri"/>
        <family val="2"/>
        <scheme val="minor"/>
      </rPr>
      <t>8)</t>
    </r>
    <r>
      <rPr>
        <sz val="11"/>
        <rFont val="Calibri"/>
        <family val="2"/>
        <scheme val="minor"/>
      </rPr>
      <t xml:space="preserve"> In 2022, there has been a change in the elimination of internal profit related to sale of digital services from VCC to other entities within the Group. This change has resulted in a decrease of cost of sales, research and development expenses and selling expenses against an increase of administrative expenses. The comparative figures have been adjusted accordingly, but only for 2021, due to the reclassification for previous periods not having a material impact. The reclassification has no impact on EBIT.</t>
    </r>
  </si>
  <si>
    <r>
      <rPr>
        <vertAlign val="superscript"/>
        <sz val="11"/>
        <rFont val="Calibri"/>
        <family val="2"/>
        <scheme val="minor"/>
      </rPr>
      <t>9)</t>
    </r>
    <r>
      <rPr>
        <sz val="11"/>
        <rFont val="Calibri"/>
        <family val="2"/>
        <scheme val="minor"/>
      </rPr>
      <t xml:space="preserve"> In 2022, a prior period error was identified with regards to the recognition of a government grant in China. The comparative figures have been adjusted accordingly affecting 2020.</t>
    </r>
  </si>
  <si>
    <t>Q4 
2022</t>
  </si>
  <si>
    <t xml:space="preserve">Europe </t>
  </si>
  <si>
    <r>
      <t xml:space="preserve">  of which Sweden</t>
    </r>
    <r>
      <rPr>
        <vertAlign val="superscript"/>
        <sz val="11"/>
        <color rgb="FF000000"/>
        <rFont val="Calibri"/>
        <family val="2"/>
      </rPr>
      <t>1)</t>
    </r>
  </si>
  <si>
    <t xml:space="preserve">  of which United Kingdom</t>
  </si>
  <si>
    <t xml:space="preserve">  of which Germany</t>
  </si>
  <si>
    <t>Other markets</t>
  </si>
  <si>
    <t xml:space="preserve">  of which South Korea</t>
  </si>
  <si>
    <t xml:space="preserve">  of which Japan</t>
  </si>
  <si>
    <t>1) Includes the Contract manufacturing sales channel.</t>
  </si>
  <si>
    <r>
      <t>Full Year
2012</t>
    </r>
    <r>
      <rPr>
        <b/>
        <vertAlign val="superscript"/>
        <sz val="11"/>
        <rFont val="Calibri"/>
        <family val="2"/>
        <scheme val="minor"/>
      </rPr>
      <t>1)</t>
    </r>
  </si>
  <si>
    <r>
      <t>Full Year
2013</t>
    </r>
    <r>
      <rPr>
        <b/>
        <vertAlign val="superscript"/>
        <sz val="11"/>
        <rFont val="Calibri"/>
        <family val="2"/>
        <scheme val="minor"/>
      </rPr>
      <t>1)</t>
    </r>
  </si>
  <si>
    <r>
      <t>Full Year
2014</t>
    </r>
    <r>
      <rPr>
        <b/>
        <vertAlign val="superscript"/>
        <sz val="11"/>
        <rFont val="Calibri"/>
        <family val="2"/>
        <scheme val="minor"/>
      </rPr>
      <t>2)</t>
    </r>
  </si>
  <si>
    <t>Full Year
2015</t>
  </si>
  <si>
    <t>Full Year 
2016</t>
  </si>
  <si>
    <t>Full Year 
2017</t>
  </si>
  <si>
    <r>
      <t>Full year
2020</t>
    </r>
    <r>
      <rPr>
        <b/>
        <vertAlign val="superscript"/>
        <sz val="11"/>
        <rFont val="Calibri"/>
        <family val="2"/>
        <scheme val="minor"/>
      </rPr>
      <t>3)4)5)</t>
    </r>
  </si>
  <si>
    <r>
      <t>Full year
2021</t>
    </r>
    <r>
      <rPr>
        <b/>
        <vertAlign val="superscript"/>
        <sz val="11"/>
        <rFont val="Calibri"/>
        <family val="2"/>
        <scheme val="minor"/>
      </rPr>
      <t>3)4)5)</t>
    </r>
  </si>
  <si>
    <t>ASSETS</t>
  </si>
  <si>
    <t>Non-current assets</t>
  </si>
  <si>
    <t xml:space="preserve">Intangible assets </t>
  </si>
  <si>
    <r>
      <t>Tangible assets</t>
    </r>
    <r>
      <rPr>
        <vertAlign val="superscript"/>
        <sz val="11"/>
        <rFont val="Calibri"/>
        <family val="2"/>
        <scheme val="minor"/>
      </rPr>
      <t>3)</t>
    </r>
  </si>
  <si>
    <t>Investments in joint ventures and associates</t>
  </si>
  <si>
    <r>
      <t>Assets held under operating leases</t>
    </r>
    <r>
      <rPr>
        <vertAlign val="superscript"/>
        <sz val="11"/>
        <rFont val="Calibri"/>
        <family val="2"/>
        <scheme val="minor"/>
      </rPr>
      <t>3)</t>
    </r>
  </si>
  <si>
    <t>Deferred tax assets</t>
  </si>
  <si>
    <t>Total non-current assets</t>
  </si>
  <si>
    <t>Current assets</t>
  </si>
  <si>
    <t>Inventories</t>
  </si>
  <si>
    <t>Current tax assets</t>
  </si>
  <si>
    <t>Assets held for sale</t>
  </si>
  <si>
    <t>Total current assets</t>
  </si>
  <si>
    <t>TOTAL ASSETS</t>
  </si>
  <si>
    <r>
      <rPr>
        <vertAlign val="superscript"/>
        <sz val="11"/>
        <rFont val="Calibri"/>
        <family val="2"/>
        <scheme val="minor"/>
      </rPr>
      <t>1)</t>
    </r>
    <r>
      <rPr>
        <sz val="11"/>
        <rFont val="Calibri"/>
        <family val="2"/>
        <scheme val="minor"/>
      </rPr>
      <t xml:space="preserve"> Not restated after the acquisitions of the Chinese industrial entities in 2015.</t>
    </r>
  </si>
  <si>
    <r>
      <rPr>
        <vertAlign val="superscript"/>
        <sz val="11"/>
        <rFont val="Calibri"/>
        <family val="2"/>
        <scheme val="minor"/>
      </rPr>
      <t xml:space="preserve">2) </t>
    </r>
    <r>
      <rPr>
        <sz val="11"/>
        <rFont val="Calibri"/>
        <family val="2"/>
        <scheme val="minor"/>
      </rPr>
      <t>The comparative figures for 2014 are restated to include the new Volvo Car Group structure including the acquired Chinese industrial entities. For further descriptions refer to the Volvo Car Group’s annual report 2015.</t>
    </r>
  </si>
  <si>
    <r>
      <rPr>
        <vertAlign val="superscript"/>
        <sz val="11"/>
        <rFont val="Calibri"/>
        <family val="2"/>
        <scheme val="minor"/>
      </rPr>
      <t xml:space="preserve">3) </t>
    </r>
    <r>
      <rPr>
        <sz val="11"/>
        <rFont val="Calibri"/>
        <family val="2"/>
        <scheme val="minor"/>
      </rPr>
      <t>From 2021, Assets held under operating leases are reported as a part of Tangible assets (previously called Property, Plant and Equipment). Comparative figures for 2020 have been adjusted accordingly.</t>
    </r>
  </si>
  <si>
    <r>
      <rPr>
        <vertAlign val="superscript"/>
        <sz val="11"/>
        <rFont val="Calibri"/>
        <family val="2"/>
        <scheme val="minor"/>
      </rPr>
      <t>4)</t>
    </r>
    <r>
      <rPr>
        <sz val="11"/>
        <rFont val="Calibri"/>
        <family val="2"/>
        <scheme val="minor"/>
      </rPr>
      <t xml:space="preserve"> From 2021, Derivative assets and liabilities are reported on separate lines (previously included in Other assets/liabilities). Comparative figures for 2020 have been adjusted accordingly.</t>
    </r>
  </si>
  <si>
    <r>
      <rPr>
        <vertAlign val="superscript"/>
        <sz val="11"/>
        <rFont val="Calibri"/>
        <family val="2"/>
        <scheme val="minor"/>
      </rPr>
      <t>5)</t>
    </r>
    <r>
      <rPr>
        <sz val="11"/>
        <rFont val="Calibri"/>
        <family val="2"/>
        <scheme val="minor"/>
      </rPr>
      <t xml:space="preserve"> In 2022 a prior period error was identified with regards to the recognition of government grant in China. Adjustments have been made for 2020 but do however impact the in- and outgoing balances of 2021.</t>
    </r>
  </si>
  <si>
    <r>
      <t>Full year
2020</t>
    </r>
    <r>
      <rPr>
        <b/>
        <vertAlign val="superscript"/>
        <sz val="11"/>
        <rFont val="Calibri"/>
        <family val="2"/>
        <scheme val="minor"/>
      </rPr>
      <t>3)</t>
    </r>
  </si>
  <si>
    <r>
      <t>Full year
2021</t>
    </r>
    <r>
      <rPr>
        <b/>
        <vertAlign val="superscript"/>
        <sz val="11"/>
        <rFont val="Calibri"/>
        <family val="2"/>
        <scheme val="minor"/>
      </rPr>
      <t>3)</t>
    </r>
  </si>
  <si>
    <t>Equity</t>
  </si>
  <si>
    <t>Equity attributable to owners of the parent company</t>
  </si>
  <si>
    <t>Non-current liabilities</t>
  </si>
  <si>
    <t>Provisions for post-employment benefits</t>
  </si>
  <si>
    <t>Deferred tax liabilities</t>
  </si>
  <si>
    <t>Liabilities to parent company</t>
  </si>
  <si>
    <r>
      <t>Other non-current liabilities</t>
    </r>
    <r>
      <rPr>
        <vertAlign val="superscript"/>
        <sz val="11"/>
        <rFont val="Calibri"/>
        <family val="2"/>
        <scheme val="minor"/>
      </rPr>
      <t>3)</t>
    </r>
  </si>
  <si>
    <t>Total non-current liabilities</t>
  </si>
  <si>
    <t>Current liabilities</t>
  </si>
  <si>
    <t>Accounts payable</t>
  </si>
  <si>
    <t>Current tax liabilities</t>
  </si>
  <si>
    <t>Liabilities held for sale</t>
  </si>
  <si>
    <t>Total current liabilities</t>
  </si>
  <si>
    <t>TOTAL EQUITY &amp; LIABILITIES</t>
  </si>
  <si>
    <r>
      <rPr>
        <vertAlign val="superscript"/>
        <sz val="11"/>
        <rFont val="Calibri"/>
        <family val="2"/>
        <scheme val="minor"/>
      </rPr>
      <t>3)</t>
    </r>
    <r>
      <rPr>
        <sz val="11"/>
        <rFont val="Calibri"/>
        <family val="2"/>
        <scheme val="minor"/>
      </rPr>
      <t xml:space="preserve"> From 2021, Derivative assets and liabilities are reported on separate lines (previously included in Other assets/liabilities). Comparative figures for 2020 have been adjusted accordingly.</t>
    </r>
  </si>
  <si>
    <r>
      <rPr>
        <vertAlign val="superscript"/>
        <sz val="11"/>
        <rFont val="Calibri"/>
        <family val="2"/>
        <scheme val="minor"/>
      </rPr>
      <t>4)</t>
    </r>
    <r>
      <rPr>
        <sz val="11"/>
        <rFont val="Calibri"/>
        <family val="2"/>
        <scheme val="minor"/>
      </rPr>
      <t xml:space="preserve"> In 2022 a prior period error was identified with regards to the recognition of government grant in China. Adjustments have been made for 2020 but do however impact the in- and outgoing balances of 2021.</t>
    </r>
  </si>
  <si>
    <t>Full Year
2016</t>
  </si>
  <si>
    <t>Full Year
2017</t>
  </si>
  <si>
    <t>Full Year
2018</t>
  </si>
  <si>
    <t>Full Year
2019</t>
  </si>
  <si>
    <r>
      <t>Full year
2020</t>
    </r>
    <r>
      <rPr>
        <b/>
        <vertAlign val="superscript"/>
        <sz val="11"/>
        <rFont val="Calibri"/>
        <family val="2"/>
        <scheme val="minor"/>
      </rPr>
      <t>3)4)6)</t>
    </r>
  </si>
  <si>
    <r>
      <t>Full year
2021</t>
    </r>
    <r>
      <rPr>
        <b/>
        <vertAlign val="superscript"/>
        <sz val="11"/>
        <rFont val="Calibri"/>
        <family val="2"/>
        <scheme val="minor"/>
      </rPr>
      <t>3)4)</t>
    </r>
  </si>
  <si>
    <r>
      <t>Q3
2020</t>
    </r>
    <r>
      <rPr>
        <b/>
        <vertAlign val="superscript"/>
        <sz val="11"/>
        <rFont val="Calibri"/>
        <family val="2"/>
        <scheme val="minor"/>
      </rPr>
      <t>6)</t>
    </r>
  </si>
  <si>
    <r>
      <t>Q4
2020</t>
    </r>
    <r>
      <rPr>
        <b/>
        <vertAlign val="superscript"/>
        <sz val="11"/>
        <rFont val="Calibri"/>
        <family val="2"/>
        <scheme val="minor"/>
      </rPr>
      <t>6)</t>
    </r>
  </si>
  <si>
    <t>OPERATING ACTIVITIES</t>
  </si>
  <si>
    <t xml:space="preserve">Operating income </t>
  </si>
  <si>
    <t xml:space="preserve">Depreciation and amortisation of non-current assets </t>
  </si>
  <si>
    <t>Dividends received from joint ventures and associates</t>
  </si>
  <si>
    <t xml:space="preserve">Interest and similar items received </t>
  </si>
  <si>
    <t>Interest and similar items paid</t>
  </si>
  <si>
    <t>Other financial items</t>
  </si>
  <si>
    <t xml:space="preserve">Income tax paid </t>
  </si>
  <si>
    <t>Adjustments for items not affecting cash flow</t>
  </si>
  <si>
    <t>Movements in working capital</t>
  </si>
  <si>
    <t>Change in inventories</t>
  </si>
  <si>
    <t xml:space="preserve">Change in accounts receivable </t>
  </si>
  <si>
    <t>Change in accounts payable</t>
  </si>
  <si>
    <t xml:space="preserve">Change in items relating to repurchase commitments </t>
  </si>
  <si>
    <t>Change in provisions</t>
  </si>
  <si>
    <t>Change in contract liability to customers</t>
  </si>
  <si>
    <t xml:space="preserve">Change in other working capital assets/liabilities </t>
  </si>
  <si>
    <t>Cash flow from movements in working capital</t>
  </si>
  <si>
    <t>Cash flow from operating activities</t>
  </si>
  <si>
    <t>INVESTING ACTIVITIES</t>
  </si>
  <si>
    <t>Investments in shares and participations, net</t>
  </si>
  <si>
    <t>Investments in shares and participations</t>
  </si>
  <si>
    <t>Capital repayments from shares and participations</t>
  </si>
  <si>
    <t>Divestment in shares and participations</t>
  </si>
  <si>
    <t>Loans to affiliated companies</t>
  </si>
  <si>
    <t>Repayment of loans from affiliated companies</t>
  </si>
  <si>
    <t xml:space="preserve">Investments in intangible assets </t>
  </si>
  <si>
    <t>Disposal of intangible assets</t>
  </si>
  <si>
    <t>Investments in tangible assets</t>
  </si>
  <si>
    <r>
      <t>Disposal of tangible assets</t>
    </r>
    <r>
      <rPr>
        <vertAlign val="superscript"/>
        <sz val="11"/>
        <rFont val="Calibri"/>
        <family val="2"/>
        <scheme val="minor"/>
      </rPr>
      <t>5)</t>
    </r>
  </si>
  <si>
    <t>Cash flow from investing activities</t>
  </si>
  <si>
    <t>Cash flow from operating and investing activities</t>
  </si>
  <si>
    <t>FINANCING ACTIVITIES</t>
  </si>
  <si>
    <t>Proceeds from credit institutions</t>
  </si>
  <si>
    <t>Proceeds from bond issuance</t>
  </si>
  <si>
    <t>Acquisition of treasury shares</t>
  </si>
  <si>
    <t>New share issue</t>
  </si>
  <si>
    <t>Repayment of bond</t>
  </si>
  <si>
    <t>Repayment of liabilities to credit institutions</t>
  </si>
  <si>
    <t>Repayment of interest bearing liabilities</t>
  </si>
  <si>
    <t>Proceeds from issuance of preference shares</t>
  </si>
  <si>
    <t>Redemption of preference shares</t>
  </si>
  <si>
    <t>Dividend paid to shareholders and/or non-controlling interests</t>
  </si>
  <si>
    <t>Dividend paid to non-controlling interests</t>
  </si>
  <si>
    <t>Received shareholders’ contribution</t>
  </si>
  <si>
    <t>Investments in marketable securities, net</t>
  </si>
  <si>
    <t>Investments in marketable securities</t>
  </si>
  <si>
    <t>Matured marketable securities</t>
  </si>
  <si>
    <t xml:space="preserve">Cash flow from financing activities </t>
  </si>
  <si>
    <t>Cash flow for the period</t>
  </si>
  <si>
    <t>Cash and cash equivalents at beginning of the year</t>
  </si>
  <si>
    <t>Exchange difference on cash and cash equivalents</t>
  </si>
  <si>
    <t>Cash and cash equivalents at end of the year</t>
  </si>
  <si>
    <r>
      <rPr>
        <vertAlign val="superscript"/>
        <sz val="11"/>
        <rFont val="Calibri"/>
        <family val="2"/>
        <scheme val="minor"/>
      </rPr>
      <t>3)</t>
    </r>
    <r>
      <rPr>
        <sz val="11"/>
        <rFont val="Calibri"/>
        <family val="2"/>
        <scheme val="minor"/>
      </rPr>
      <t xml:space="preserve"> In 2021, Investment in shares and participations have been reported in gross, adding Capital repayments from shares in participations. Investment in marketable securities have also been reported in gross, adding Matured marketable securities. The comparable figures for 2020 have been adjusted accordingly.</t>
    </r>
  </si>
  <si>
    <r>
      <rPr>
        <vertAlign val="superscript"/>
        <sz val="11"/>
        <rFont val="Calibri"/>
        <family val="2"/>
        <scheme val="minor"/>
      </rPr>
      <t>4)</t>
    </r>
    <r>
      <rPr>
        <sz val="11"/>
        <rFont val="Calibri"/>
        <family val="2"/>
        <scheme val="minor"/>
      </rPr>
      <t xml:space="preserve"> In 2021, Dividends received from joint ventures and associates have been reclassified from Investing activities to Operating activities. Comparative figures for 2020 have been adjusted accordingly.</t>
    </r>
  </si>
  <si>
    <r>
      <rPr>
        <vertAlign val="superscript"/>
        <sz val="11"/>
        <color theme="1"/>
        <rFont val="Calibri"/>
        <family val="2"/>
        <scheme val="minor"/>
      </rPr>
      <t>5)</t>
    </r>
    <r>
      <rPr>
        <sz val="11"/>
        <color theme="1"/>
        <rFont val="Calibri"/>
        <family val="2"/>
        <scheme val="minor"/>
      </rPr>
      <t xml:space="preserve"> In 2021, renamed Property, plant and equipment to Tangible assets.</t>
    </r>
  </si>
  <si>
    <r>
      <rPr>
        <vertAlign val="superscript"/>
        <sz val="11"/>
        <color theme="1"/>
        <rFont val="Calibri"/>
        <family val="2"/>
        <scheme val="minor"/>
      </rPr>
      <t>6)</t>
    </r>
    <r>
      <rPr>
        <sz val="11"/>
        <color theme="1"/>
        <rFont val="Calibri"/>
        <family val="2"/>
        <scheme val="minor"/>
      </rPr>
      <t xml:space="preserve"> In 2022, a prior period error was identified with regards to the recognition of a government grant in China. The comparative figures have been adjusted accordingly affecting 2020.</t>
    </r>
  </si>
  <si>
    <t>Full year
2024</t>
  </si>
  <si>
    <t>Impairment of JV-shareholding in NOVO Energy AB</t>
  </si>
  <si>
    <t>Q4
2024</t>
  </si>
  <si>
    <t xml:space="preserve">  of which Turkey</t>
  </si>
  <si>
    <t>Other long-term securities holdings</t>
  </si>
  <si>
    <t>Other non-current interest-bearing receivables</t>
  </si>
  <si>
    <r>
      <t>Non-current derivate assets</t>
    </r>
    <r>
      <rPr>
        <vertAlign val="superscript"/>
        <sz val="11"/>
        <rFont val="Calibri"/>
        <family val="2"/>
        <scheme val="minor"/>
      </rPr>
      <t>4)</t>
    </r>
  </si>
  <si>
    <r>
      <t>Other non-current assets</t>
    </r>
    <r>
      <rPr>
        <vertAlign val="superscript"/>
        <sz val="11"/>
        <rFont val="Calibri"/>
        <family val="2"/>
        <scheme val="minor"/>
      </rPr>
      <t>4)</t>
    </r>
  </si>
  <si>
    <t>Accounts receivable</t>
  </si>
  <si>
    <r>
      <t>Current derivate assets</t>
    </r>
    <r>
      <rPr>
        <vertAlign val="superscript"/>
        <sz val="11"/>
        <rFont val="Calibri"/>
        <family val="2"/>
        <scheme val="minor"/>
      </rPr>
      <t>4)</t>
    </r>
  </si>
  <si>
    <r>
      <t>Other current assets</t>
    </r>
    <r>
      <rPr>
        <vertAlign val="superscript"/>
        <sz val="11"/>
        <rFont val="Calibri"/>
        <family val="2"/>
        <scheme val="minor"/>
      </rPr>
      <t>4)</t>
    </r>
  </si>
  <si>
    <t>Other non-current provisions</t>
  </si>
  <si>
    <t>Non-current liabilities to credit institutions</t>
  </si>
  <si>
    <t>Non-current bond loans</t>
  </si>
  <si>
    <t>Non-current contract liabilities to customers</t>
  </si>
  <si>
    <t>Other non-current interest-bearing liabilities</t>
  </si>
  <si>
    <r>
      <t>Non-current derivative liabilities</t>
    </r>
    <r>
      <rPr>
        <vertAlign val="superscript"/>
        <sz val="11"/>
        <rFont val="Calibri"/>
        <family val="2"/>
        <scheme val="minor"/>
      </rPr>
      <t>3)</t>
    </r>
  </si>
  <si>
    <t>Current provisions</t>
  </si>
  <si>
    <t>Current liabilities to credit institutions</t>
  </si>
  <si>
    <t>Current bond loans</t>
  </si>
  <si>
    <t>Current contract liabilities to customers</t>
  </si>
  <si>
    <t>Other current interest-bearing liabilities</t>
  </si>
  <si>
    <r>
      <t>Current derivative liabilities</t>
    </r>
    <r>
      <rPr>
        <vertAlign val="superscript"/>
        <sz val="11"/>
        <rFont val="Calibri"/>
        <family val="2"/>
        <scheme val="minor"/>
      </rPr>
      <t>3)</t>
    </r>
  </si>
  <si>
    <r>
      <t>Other current liabilities</t>
    </r>
    <r>
      <rPr>
        <vertAlign val="superscript"/>
        <sz val="11"/>
        <rFont val="Calibri"/>
        <family val="2"/>
        <scheme val="minor"/>
      </rPr>
      <t>3)</t>
    </r>
  </si>
  <si>
    <t>Full year 2024</t>
  </si>
  <si>
    <t>Q4 2023</t>
  </si>
  <si>
    <t>Q4 2024</t>
  </si>
  <si>
    <t>Dec 31, 2024</t>
  </si>
  <si>
    <t>Other interest-bearing non-current liabilities</t>
  </si>
  <si>
    <t>Used cars and deferred revenue</t>
  </si>
  <si>
    <t>Net cash</t>
  </si>
  <si>
    <t xml:space="preserve">1) The bonds are presented above at amortised cost. The fair value risk of the EUR-denominated bonds is hedged and the bonds with fixed interest payments have been swapped into floating interest. Part of the bonds is therefore measured at fair value through the income statement and the remaining part is measured at amortised cost. On 31 December 2024 the fair value component amounted to SEK 235 (-46)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</si>
</sst>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0.0%"/>
    <numFmt numFmtId="167" formatCode="#,##0;\(#,##0\);&quot;-&quot;"/>
    <numFmt numFmtId="168" formatCode="0.0"/>
  </numFmts>
  <fonts count="47">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i/>
      <sz val="11"/>
      <name val="Calibri"/>
      <family val="2"/>
      <scheme val="minor"/>
    </font>
    <font>
      <sz val="8"/>
      <name val="Calibri"/>
      <family val="2"/>
      <scheme val="minor"/>
    </font>
    <font>
      <sz val="8"/>
      <color theme="1" tint="0.499984740745262"/>
      <name val="Volvo Novum Medium"/>
      <family val="2"/>
    </font>
    <font>
      <sz val="8"/>
      <color theme="1"/>
      <name val="Volvo Novum Regular"/>
    </font>
    <font>
      <sz val="9"/>
      <color theme="1"/>
      <name val="Volvo Novum SemiLight"/>
      <family val="2"/>
    </font>
    <font>
      <sz val="10"/>
      <name val="Arial"/>
      <family val="2"/>
    </font>
    <font>
      <u/>
      <sz val="11"/>
      <color theme="10"/>
      <name val="Calibri"/>
      <family val="2"/>
      <scheme val="minor"/>
    </font>
    <font>
      <sz val="11"/>
      <color rgb="FF333333"/>
      <name val="Calibri"/>
      <family val="2"/>
      <scheme val="minor"/>
    </font>
    <font>
      <sz val="9"/>
      <color indexed="8"/>
      <name val="Arial"/>
      <family val="2"/>
    </font>
    <font>
      <b/>
      <sz val="11"/>
      <color rgb="FF333333"/>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rgb="FFFF0000"/>
      <name val="Calibri"/>
      <family val="2"/>
    </font>
    <font>
      <sz val="11"/>
      <color rgb="FFE26B0A"/>
      <name val="Calibri"/>
      <family val="2"/>
    </font>
    <font>
      <b/>
      <vertAlign val="superscript"/>
      <sz val="11"/>
      <name val="Calibri"/>
      <family val="2"/>
    </font>
    <font>
      <b/>
      <i/>
      <sz val="11"/>
      <name val="Calibri"/>
      <family val="2"/>
    </font>
    <font>
      <vertAlign val="superscript"/>
      <sz val="11"/>
      <name val="Calibri"/>
      <family val="2"/>
    </font>
    <font>
      <i/>
      <sz val="11"/>
      <color rgb="FF000000"/>
      <name val="Calibri"/>
      <family val="2"/>
    </font>
    <font>
      <vertAlign val="superscript"/>
      <sz val="11"/>
      <color rgb="FF000000"/>
      <name val="Calibri"/>
      <family val="2"/>
    </font>
    <font>
      <sz val="11"/>
      <color rgb="FFFF0000"/>
      <name val="Calibri"/>
      <family val="2"/>
      <scheme val="minor"/>
    </font>
    <font>
      <i/>
      <sz val="11"/>
      <name val="Calibri"/>
      <family val="2"/>
      <scheme val="minor"/>
    </font>
    <font>
      <b/>
      <vertAlign val="superscript"/>
      <sz val="11"/>
      <name val="Calibri"/>
      <family val="2"/>
      <scheme val="minor"/>
    </font>
    <font>
      <i/>
      <sz val="11"/>
      <color theme="1"/>
      <name val="Calibri"/>
      <family val="2"/>
      <scheme val="minor"/>
    </font>
    <font>
      <vertAlign val="superscript"/>
      <sz val="11"/>
      <name val="Calibri"/>
      <family val="2"/>
      <scheme val="minor"/>
    </font>
    <font>
      <b/>
      <sz val="11"/>
      <color rgb="FFFF0000"/>
      <name val="Calibri"/>
      <family val="2"/>
      <scheme val="minor"/>
    </font>
    <font>
      <vertAlign val="superscript"/>
      <sz val="11"/>
      <color theme="1"/>
      <name val="Calibri"/>
      <family val="2"/>
      <scheme val="minor"/>
    </font>
    <font>
      <sz val="10"/>
      <color rgb="FF000000"/>
      <name val="Calibri"/>
      <family val="2"/>
    </font>
    <font>
      <vertAlign val="superscript"/>
      <sz val="10"/>
      <color theme="1"/>
      <name val="Calibri"/>
      <family val="2"/>
      <scheme val="minor"/>
    </font>
    <font>
      <sz val="10"/>
      <color theme="1"/>
      <name val="Calibri"/>
      <family val="2"/>
      <scheme val="minor"/>
    </font>
    <font>
      <vertAlign val="superscript"/>
      <sz val="10"/>
      <color rgb="FF000000"/>
      <name val="Calibri"/>
      <family val="2"/>
    </font>
    <font>
      <b/>
      <vertAlign val="superscript"/>
      <sz val="10"/>
      <color rgb="FF000000"/>
      <name val="Calibri"/>
      <family val="2"/>
    </font>
    <font>
      <sz val="11"/>
      <color theme="1"/>
      <name val="Calibri"/>
      <family val="2"/>
    </font>
    <font>
      <b/>
      <sz val="11"/>
      <color theme="1"/>
      <name val="Calibri"/>
      <family val="2"/>
    </font>
    <font>
      <i/>
      <sz val="11"/>
      <name val="Calibri"/>
      <family val="2"/>
    </font>
    <font>
      <b/>
      <i/>
      <sz val="11"/>
      <color rgb="FFFF0000"/>
      <name val="Calibri"/>
      <family val="2"/>
      <scheme val="minor"/>
    </font>
    <font>
      <sz val="8"/>
      <name val="Calibri"/>
      <family val="2"/>
    </font>
    <font>
      <i/>
      <sz val="9"/>
      <name val="Calibri"/>
      <family val="2"/>
    </font>
    <font>
      <i/>
      <sz val="11"/>
      <color rgb="FFFF0000"/>
      <name val="Calibri"/>
      <family val="2"/>
      <scheme val="minor"/>
    </font>
    <font>
      <sz val="12"/>
      <color rgb="FF333333"/>
      <name val="Arial Narrow"/>
      <family val="2"/>
    </font>
    <font>
      <b/>
      <sz val="12"/>
      <color rgb="FF333333"/>
      <name val="Arial Narrow"/>
      <family val="2"/>
    </font>
  </fonts>
  <fills count="8">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FFFF"/>
        <bgColor rgb="FF000000"/>
      </patternFill>
    </fill>
    <fill>
      <patternFill patternType="solid">
        <fgColor rgb="FFFFFFFF"/>
        <bgColor indexed="64"/>
      </patternFill>
    </fill>
    <fill>
      <patternFill patternType="solid">
        <fgColor theme="0"/>
        <bgColor rgb="FF000000"/>
      </patternFill>
    </fill>
  </fills>
  <borders count="23">
    <border>
      <left/>
      <right/>
      <top/>
      <bottom/>
      <diagonal/>
    </border>
    <border>
      <left/>
      <right/>
      <top/>
      <bottom style="thin">
        <color indexed="64"/>
      </bottom>
      <diagonal/>
    </border>
    <border>
      <left/>
      <right/>
      <top/>
      <bottom style="double">
        <color indexed="64"/>
      </bottom>
      <diagonal/>
    </border>
    <border>
      <left/>
      <right/>
      <top style="thin">
        <color indexed="64"/>
      </top>
      <bottom/>
      <diagonal/>
    </border>
    <border>
      <left/>
      <right/>
      <top/>
      <bottom style="thick">
        <color theme="4"/>
      </bottom>
      <diagonal/>
    </border>
    <border>
      <left/>
      <right/>
      <top style="double">
        <color auto="1"/>
      </top>
      <bottom/>
      <diagonal/>
    </border>
    <border>
      <left/>
      <right/>
      <top/>
      <bottom style="thin">
        <color theme="1"/>
      </bottom>
      <diagonal/>
    </border>
    <border>
      <left/>
      <right/>
      <top style="thin">
        <color theme="1"/>
      </top>
      <bottom/>
      <diagonal/>
    </border>
    <border>
      <left/>
      <right/>
      <top/>
      <bottom style="thin">
        <color theme="0" tint="-0.249977111117893"/>
      </bottom>
      <diagonal/>
    </border>
    <border>
      <left/>
      <right/>
      <top style="thin">
        <color theme="1"/>
      </top>
      <bottom style="medium">
        <color theme="1"/>
      </bottom>
      <diagonal/>
    </border>
    <border>
      <left/>
      <right/>
      <top style="medium">
        <color theme="1"/>
      </top>
      <bottom/>
      <diagonal/>
    </border>
    <border>
      <left/>
      <right/>
      <top style="hair">
        <color rgb="FF4D4D4D"/>
      </top>
      <bottom style="hair">
        <color rgb="FF4D4D4D"/>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double">
        <color rgb="FF000000"/>
      </bottom>
      <diagonal/>
    </border>
    <border>
      <left/>
      <right/>
      <top style="thin">
        <color indexed="64"/>
      </top>
      <bottom style="medium">
        <color indexed="64"/>
      </bottom>
      <diagonal/>
    </border>
    <border>
      <left/>
      <right/>
      <top style="thin">
        <color theme="1"/>
      </top>
      <bottom style="thin">
        <color theme="1"/>
      </bottom>
      <diagonal/>
    </border>
    <border>
      <left/>
      <right/>
      <top/>
      <bottom style="double">
        <color theme="1"/>
      </bottom>
      <diagonal/>
    </border>
    <border>
      <left/>
      <right/>
      <top style="thin">
        <color indexed="64"/>
      </top>
      <bottom style="double">
        <color indexed="64"/>
      </bottom>
      <diagonal/>
    </border>
    <border>
      <left/>
      <right style="thin">
        <color indexed="64"/>
      </right>
      <top/>
      <bottom/>
      <diagonal/>
    </border>
    <border>
      <left/>
      <right style="thin">
        <color indexed="64"/>
      </right>
      <top style="thin">
        <color rgb="FF000000"/>
      </top>
      <bottom style="medium">
        <color rgb="FF000000"/>
      </bottom>
      <diagonal/>
    </border>
  </borders>
  <cellStyleXfs count="13">
    <xf numFmtId="0" fontId="0" fillId="0" borderId="0"/>
    <xf numFmtId="9" fontId="1" fillId="0" borderId="0" applyFont="0" applyFill="0" applyBorder="0" applyAlignment="0" applyProtection="0"/>
    <xf numFmtId="0" fontId="7" fillId="0" borderId="4" applyNumberFormat="0" applyFill="0" applyAlignment="0" applyProtection="0"/>
    <xf numFmtId="0" fontId="8" fillId="3" borderId="0" applyFont="0" applyBorder="0" applyAlignment="0">
      <alignment vertical="center"/>
      <protection locked="0"/>
    </xf>
    <xf numFmtId="0" fontId="8" fillId="4" borderId="0" applyFont="0" applyBorder="0" applyAlignment="0">
      <alignment horizontal="right" vertical="center"/>
    </xf>
    <xf numFmtId="0" fontId="8" fillId="3" borderId="0" applyFont="0" applyBorder="0" applyAlignment="0">
      <alignment horizontal="right" vertical="center"/>
    </xf>
    <xf numFmtId="43" fontId="1" fillId="0" borderId="0" applyFont="0" applyFill="0" applyBorder="0" applyAlignment="0" applyProtection="0"/>
    <xf numFmtId="0" fontId="9" fillId="2" borderId="1" applyFont="0" applyFill="0" applyBorder="0" applyAlignment="0">
      <alignment wrapText="1"/>
    </xf>
    <xf numFmtId="0" fontId="10" fillId="0" borderId="0"/>
    <xf numFmtId="0" fontId="11" fillId="0" borderId="0" applyNumberFormat="0" applyFill="0" applyBorder="0" applyAlignment="0" applyProtection="0"/>
    <xf numFmtId="0" fontId="11" fillId="0" borderId="0" applyNumberFormat="0" applyFill="0" applyBorder="0" applyAlignment="0" applyProtection="0"/>
    <xf numFmtId="0" fontId="13" fillId="0" borderId="11" applyNumberFormat="0" applyFill="0" applyAlignment="0" applyProtection="0"/>
    <xf numFmtId="43" fontId="1" fillId="0" borderId="0" applyFont="0" applyFill="0" applyBorder="0" applyAlignment="0" applyProtection="0"/>
  </cellStyleXfs>
  <cellXfs count="295">
    <xf numFmtId="0" fontId="0" fillId="0" borderId="0" xfId="0"/>
    <xf numFmtId="3" fontId="0" fillId="0" borderId="0" xfId="0" applyNumberFormat="1"/>
    <xf numFmtId="0" fontId="2" fillId="0" borderId="0" xfId="0" applyFont="1"/>
    <xf numFmtId="0" fontId="4" fillId="0" borderId="0" xfId="0" applyFont="1" applyAlignment="1">
      <alignment horizontal="right" wrapText="1"/>
    </xf>
    <xf numFmtId="0" fontId="3" fillId="0" borderId="0" xfId="0" applyFont="1"/>
    <xf numFmtId="3" fontId="3" fillId="0" borderId="0" xfId="0" applyNumberFormat="1" applyFont="1"/>
    <xf numFmtId="3" fontId="3" fillId="0" borderId="0" xfId="0" applyNumberFormat="1" applyFont="1" applyAlignment="1">
      <alignment horizontal="right"/>
    </xf>
    <xf numFmtId="3" fontId="4" fillId="0" borderId="0" xfId="0" applyNumberFormat="1" applyFont="1"/>
    <xf numFmtId="0" fontId="4" fillId="0" borderId="0" xfId="0" applyFont="1"/>
    <xf numFmtId="3" fontId="4" fillId="0" borderId="0" xfId="0" applyNumberFormat="1" applyFont="1" applyAlignment="1">
      <alignment horizontal="center" wrapText="1"/>
    </xf>
    <xf numFmtId="0" fontId="3" fillId="0" borderId="0" xfId="0" applyFont="1" applyAlignment="1">
      <alignment horizontal="right"/>
    </xf>
    <xf numFmtId="0" fontId="3" fillId="2" borderId="0" xfId="0" applyFont="1" applyFill="1"/>
    <xf numFmtId="4" fontId="3" fillId="0" borderId="0" xfId="0" applyNumberFormat="1" applyFont="1"/>
    <xf numFmtId="0" fontId="0" fillId="2" borderId="0" xfId="0" applyFill="1"/>
    <xf numFmtId="0" fontId="0" fillId="0" borderId="0" xfId="0" applyAlignment="1">
      <alignment horizontal="right"/>
    </xf>
    <xf numFmtId="3" fontId="0" fillId="0" borderId="0" xfId="0" applyNumberFormat="1" applyAlignment="1">
      <alignment horizontal="right"/>
    </xf>
    <xf numFmtId="9" fontId="3" fillId="0" borderId="0" xfId="1" applyFont="1" applyFill="1" applyBorder="1"/>
    <xf numFmtId="0" fontId="4" fillId="2" borderId="0" xfId="0" applyFont="1" applyFill="1"/>
    <xf numFmtId="0" fontId="2" fillId="2" borderId="1" xfId="0" applyFont="1" applyFill="1" applyBorder="1"/>
    <xf numFmtId="3" fontId="4" fillId="0" borderId="7" xfId="0" applyNumberFormat="1" applyFont="1" applyBorder="1"/>
    <xf numFmtId="3" fontId="3" fillId="0" borderId="7" xfId="0" applyNumberFormat="1" applyFont="1" applyBorder="1"/>
    <xf numFmtId="0" fontId="4" fillId="0" borderId="8" xfId="0" applyFont="1" applyBorder="1"/>
    <xf numFmtId="0" fontId="4" fillId="0" borderId="0" xfId="0" applyFont="1" applyAlignment="1">
      <alignment wrapText="1"/>
    </xf>
    <xf numFmtId="3" fontId="3" fillId="0" borderId="6" xfId="0" applyNumberFormat="1" applyFont="1" applyBorder="1" applyAlignment="1">
      <alignment horizontal="right"/>
    </xf>
    <xf numFmtId="0" fontId="4" fillId="0" borderId="9" xfId="0" applyFont="1" applyBorder="1" applyAlignment="1">
      <alignment horizontal="right" wrapText="1"/>
    </xf>
    <xf numFmtId="0" fontId="4" fillId="2" borderId="9" xfId="0" applyFont="1" applyFill="1" applyBorder="1" applyAlignment="1">
      <alignment horizontal="right" wrapText="1"/>
    </xf>
    <xf numFmtId="0" fontId="5" fillId="2" borderId="9" xfId="0" applyFont="1" applyFill="1" applyBorder="1" applyAlignment="1">
      <alignment horizontal="left" vertical="top" wrapText="1"/>
    </xf>
    <xf numFmtId="3" fontId="4" fillId="0" borderId="10" xfId="0" applyNumberFormat="1" applyFont="1" applyBorder="1"/>
    <xf numFmtId="3" fontId="4" fillId="0" borderId="6" xfId="0" applyNumberFormat="1" applyFont="1" applyBorder="1"/>
    <xf numFmtId="3" fontId="3" fillId="0" borderId="6" xfId="0" applyNumberFormat="1" applyFont="1" applyBorder="1"/>
    <xf numFmtId="3" fontId="3" fillId="0" borderId="7" xfId="0" applyNumberFormat="1" applyFont="1" applyBorder="1" applyAlignment="1">
      <alignment horizontal="right"/>
    </xf>
    <xf numFmtId="0" fontId="11" fillId="2" borderId="0" xfId="9" applyFill="1"/>
    <xf numFmtId="0" fontId="3" fillId="0" borderId="0" xfId="0" applyFont="1" applyAlignment="1">
      <alignment horizontal="left" indent="1"/>
    </xf>
    <xf numFmtId="9" fontId="3" fillId="0" borderId="0" xfId="0" applyNumberFormat="1" applyFont="1"/>
    <xf numFmtId="0" fontId="15" fillId="0" borderId="0" xfId="0" applyFont="1"/>
    <xf numFmtId="0" fontId="16" fillId="0" borderId="0" xfId="0" applyFont="1"/>
    <xf numFmtId="0" fontId="17" fillId="5" borderId="0" xfId="0" applyFont="1" applyFill="1"/>
    <xf numFmtId="0" fontId="18" fillId="5" borderId="12" xfId="0" applyFont="1" applyFill="1" applyBorder="1"/>
    <xf numFmtId="0" fontId="18" fillId="5" borderId="12" xfId="0" applyFont="1" applyFill="1" applyBorder="1" applyAlignment="1">
      <alignment wrapText="1"/>
    </xf>
    <xf numFmtId="0" fontId="18" fillId="5" borderId="0" xfId="0" applyFont="1" applyFill="1"/>
    <xf numFmtId="0" fontId="17" fillId="0" borderId="0" xfId="0" applyFont="1"/>
    <xf numFmtId="0" fontId="18" fillId="0" borderId="0" xfId="0" applyFont="1"/>
    <xf numFmtId="0" fontId="17" fillId="0" borderId="12" xfId="0" applyFont="1" applyBorder="1"/>
    <xf numFmtId="0" fontId="17" fillId="0" borderId="0" xfId="0" applyFont="1" applyAlignment="1">
      <alignment wrapText="1"/>
    </xf>
    <xf numFmtId="0" fontId="18" fillId="0" borderId="12" xfId="0" applyFont="1" applyBorder="1"/>
    <xf numFmtId="0" fontId="22" fillId="0" borderId="0" xfId="0" applyFont="1"/>
    <xf numFmtId="0" fontId="17" fillId="5" borderId="0" xfId="0" applyFont="1" applyFill="1" applyAlignment="1">
      <alignment wrapText="1"/>
    </xf>
    <xf numFmtId="0" fontId="22" fillId="5" borderId="0" xfId="0" applyFont="1" applyFill="1" applyAlignment="1">
      <alignment wrapText="1"/>
    </xf>
    <xf numFmtId="0" fontId="22" fillId="5" borderId="1" xfId="0" applyFont="1" applyFill="1" applyBorder="1" applyAlignment="1">
      <alignment wrapText="1"/>
    </xf>
    <xf numFmtId="0" fontId="18" fillId="5" borderId="0" xfId="0" applyFont="1" applyFill="1" applyAlignment="1">
      <alignment wrapText="1"/>
    </xf>
    <xf numFmtId="0" fontId="23" fillId="0" borderId="0" xfId="0" applyFont="1" applyAlignment="1">
      <alignment wrapText="1"/>
    </xf>
    <xf numFmtId="0" fontId="22" fillId="5" borderId="12" xfId="0" applyFont="1" applyFill="1" applyBorder="1" applyAlignment="1">
      <alignment wrapText="1"/>
    </xf>
    <xf numFmtId="0" fontId="18" fillId="0" borderId="3" xfId="0" applyFont="1" applyBorder="1"/>
    <xf numFmtId="0" fontId="17" fillId="0" borderId="2" xfId="0" applyFont="1" applyBorder="1"/>
    <xf numFmtId="0" fontId="15" fillId="0" borderId="15" xfId="0" applyFont="1" applyBorder="1"/>
    <xf numFmtId="0" fontId="16" fillId="0" borderId="16" xfId="0" applyFont="1" applyBorder="1"/>
    <xf numFmtId="0" fontId="17" fillId="0" borderId="0" xfId="0" quotePrefix="1" applyFont="1" applyAlignment="1">
      <alignment horizontal="right"/>
    </xf>
    <xf numFmtId="0" fontId="16" fillId="0" borderId="0" xfId="0" applyFont="1" applyAlignment="1">
      <alignment horizontal="right"/>
    </xf>
    <xf numFmtId="0" fontId="19" fillId="0" borderId="0" xfId="0" applyFont="1" applyAlignment="1">
      <alignment horizontal="right"/>
    </xf>
    <xf numFmtId="0" fontId="24" fillId="0" borderId="0" xfId="0" applyFont="1" applyAlignment="1">
      <alignment horizontal="right"/>
    </xf>
    <xf numFmtId="0" fontId="18" fillId="0" borderId="12" xfId="0" applyFont="1" applyBorder="1" applyAlignment="1">
      <alignment horizontal="right" wrapText="1"/>
    </xf>
    <xf numFmtId="0" fontId="18" fillId="5" borderId="12" xfId="0" applyFont="1" applyFill="1" applyBorder="1" applyAlignment="1">
      <alignment horizontal="right" wrapText="1"/>
    </xf>
    <xf numFmtId="0" fontId="18" fillId="0" borderId="0" xfId="0" applyFont="1" applyAlignment="1">
      <alignment horizontal="right"/>
    </xf>
    <xf numFmtId="0" fontId="17" fillId="0" borderId="0" xfId="0" applyFont="1" applyAlignment="1">
      <alignment horizontal="right"/>
    </xf>
    <xf numFmtId="3" fontId="17" fillId="0" borderId="0" xfId="0" applyNumberFormat="1" applyFont="1" applyAlignment="1">
      <alignment horizontal="right"/>
    </xf>
    <xf numFmtId="3" fontId="17" fillId="5" borderId="0" xfId="0" applyNumberFormat="1" applyFont="1" applyFill="1" applyAlignment="1">
      <alignment horizontal="right"/>
    </xf>
    <xf numFmtId="0" fontId="17" fillId="5" borderId="0" xfId="0" applyFont="1" applyFill="1" applyAlignment="1">
      <alignment horizontal="right"/>
    </xf>
    <xf numFmtId="3" fontId="18" fillId="0" borderId="3" xfId="0" applyNumberFormat="1" applyFont="1" applyBorder="1" applyAlignment="1">
      <alignment horizontal="right"/>
    </xf>
    <xf numFmtId="3" fontId="18" fillId="0" borderId="0" xfId="0" applyNumberFormat="1" applyFont="1" applyAlignment="1">
      <alignment horizontal="right"/>
    </xf>
    <xf numFmtId="3" fontId="17" fillId="0" borderId="2" xfId="0" applyNumberFormat="1" applyFont="1" applyBorder="1" applyAlignment="1">
      <alignment horizontal="right"/>
    </xf>
    <xf numFmtId="0" fontId="17" fillId="0" borderId="0" xfId="0" applyFont="1" applyAlignment="1">
      <alignment horizontal="right" wrapText="1"/>
    </xf>
    <xf numFmtId="3" fontId="18" fillId="0" borderId="15" xfId="0" applyNumberFormat="1" applyFont="1" applyBorder="1" applyAlignment="1">
      <alignment horizontal="right"/>
    </xf>
    <xf numFmtId="3" fontId="17" fillId="0" borderId="16" xfId="0" applyNumberFormat="1" applyFont="1" applyBorder="1" applyAlignment="1">
      <alignment horizontal="right"/>
    </xf>
    <xf numFmtId="0" fontId="17" fillId="0" borderId="16" xfId="0" applyFont="1" applyBorder="1" applyAlignment="1">
      <alignment horizontal="right"/>
    </xf>
    <xf numFmtId="0" fontId="20" fillId="0" borderId="0" xfId="0" applyFont="1" applyAlignment="1">
      <alignment horizontal="right"/>
    </xf>
    <xf numFmtId="0" fontId="17" fillId="5" borderId="0" xfId="0" applyFont="1" applyFill="1" applyAlignment="1">
      <alignment horizontal="right" wrapText="1"/>
    </xf>
    <xf numFmtId="3" fontId="17" fillId="0" borderId="0" xfId="0" applyNumberFormat="1" applyFont="1" applyAlignment="1">
      <alignment horizontal="right" wrapText="1"/>
    </xf>
    <xf numFmtId="0" fontId="22" fillId="0" borderId="1" xfId="0" applyFont="1" applyBorder="1" applyAlignment="1">
      <alignment horizontal="right"/>
    </xf>
    <xf numFmtId="3" fontId="4" fillId="0" borderId="1" xfId="0" applyNumberFormat="1" applyFont="1" applyBorder="1"/>
    <xf numFmtId="3" fontId="3" fillId="0" borderId="1" xfId="0" applyNumberFormat="1" applyFont="1" applyBorder="1"/>
    <xf numFmtId="0" fontId="3" fillId="0" borderId="1" xfId="0" applyFont="1" applyBorder="1"/>
    <xf numFmtId="3" fontId="5" fillId="0" borderId="17" xfId="0" applyNumberFormat="1" applyFont="1" applyBorder="1" applyAlignment="1">
      <alignment horizontal="left" wrapText="1"/>
    </xf>
    <xf numFmtId="3" fontId="4" fillId="0" borderId="17" xfId="0" applyNumberFormat="1" applyFont="1" applyBorder="1" applyAlignment="1">
      <alignment horizontal="center" wrapText="1"/>
    </xf>
    <xf numFmtId="3" fontId="14" fillId="0" borderId="8" xfId="0" applyNumberFormat="1" applyFont="1" applyBorder="1" applyAlignment="1">
      <alignment horizontal="right" wrapText="1"/>
    </xf>
    <xf numFmtId="3" fontId="12" fillId="0" borderId="0" xfId="0" applyNumberFormat="1" applyFont="1" applyAlignment="1">
      <alignment horizontal="right" wrapText="1"/>
    </xf>
    <xf numFmtId="0" fontId="12" fillId="0" borderId="0" xfId="0" applyFont="1" applyAlignment="1">
      <alignment horizontal="left" wrapText="1"/>
    </xf>
    <xf numFmtId="3" fontId="12" fillId="0" borderId="0" xfId="0" applyNumberFormat="1" applyFont="1" applyAlignment="1">
      <alignment horizontal="left" wrapText="1"/>
    </xf>
    <xf numFmtId="0" fontId="3" fillId="0" borderId="0" xfId="0" applyFont="1" applyAlignment="1">
      <alignment horizontal="left"/>
    </xf>
    <xf numFmtId="3" fontId="3" fillId="6" borderId="10" xfId="0" applyNumberFormat="1" applyFont="1" applyFill="1" applyBorder="1"/>
    <xf numFmtId="3" fontId="3" fillId="6" borderId="0" xfId="0" applyNumberFormat="1" applyFont="1" applyFill="1"/>
    <xf numFmtId="3" fontId="3" fillId="6" borderId="6" xfId="0" applyNumberFormat="1" applyFont="1" applyFill="1" applyBorder="1"/>
    <xf numFmtId="3" fontId="4" fillId="6" borderId="0" xfId="0" applyNumberFormat="1" applyFont="1" applyFill="1"/>
    <xf numFmtId="165" fontId="3" fillId="0" borderId="0" xfId="0" applyNumberFormat="1" applyFont="1"/>
    <xf numFmtId="0" fontId="0" fillId="0" borderId="0" xfId="0" applyAlignment="1">
      <alignment wrapText="1"/>
    </xf>
    <xf numFmtId="165" fontId="3" fillId="0" borderId="0" xfId="1" applyNumberFormat="1" applyFont="1"/>
    <xf numFmtId="0" fontId="4" fillId="2" borderId="0" xfId="0" applyFont="1" applyFill="1" applyAlignment="1">
      <alignment horizontal="right" wrapText="1"/>
    </xf>
    <xf numFmtId="3" fontId="3" fillId="2" borderId="0" xfId="0" applyNumberFormat="1" applyFont="1" applyFill="1" applyAlignment="1">
      <alignment horizontal="right" wrapText="1"/>
    </xf>
    <xf numFmtId="3" fontId="3" fillId="2" borderId="0" xfId="0" quotePrefix="1" applyNumberFormat="1" applyFont="1" applyFill="1" applyAlignment="1">
      <alignment horizontal="right"/>
    </xf>
    <xf numFmtId="3" fontId="3" fillId="2" borderId="0" xfId="0" applyNumberFormat="1" applyFont="1" applyFill="1" applyAlignment="1">
      <alignment horizontal="right"/>
    </xf>
    <xf numFmtId="3" fontId="5" fillId="2" borderId="0" xfId="0" applyNumberFormat="1" applyFont="1" applyFill="1" applyAlignment="1">
      <alignment horizontal="right"/>
    </xf>
    <xf numFmtId="3" fontId="5" fillId="2" borderId="1" xfId="0" applyNumberFormat="1" applyFont="1" applyFill="1" applyBorder="1" applyAlignment="1">
      <alignment horizontal="right"/>
    </xf>
    <xf numFmtId="3" fontId="5" fillId="2" borderId="1" xfId="0" quotePrefix="1" applyNumberFormat="1" applyFont="1" applyFill="1" applyBorder="1" applyAlignment="1">
      <alignment horizontal="right"/>
    </xf>
    <xf numFmtId="3" fontId="4" fillId="2" borderId="0" xfId="0" applyNumberFormat="1" applyFont="1" applyFill="1" applyAlignment="1">
      <alignment horizontal="right"/>
    </xf>
    <xf numFmtId="3" fontId="4" fillId="0" borderId="3" xfId="0" applyNumberFormat="1" applyFont="1" applyBorder="1"/>
    <xf numFmtId="3" fontId="3" fillId="0" borderId="2" xfId="0" applyNumberFormat="1" applyFont="1" applyBorder="1"/>
    <xf numFmtId="0" fontId="3" fillId="0" borderId="0" xfId="0" applyFont="1" applyAlignment="1">
      <alignment wrapText="1"/>
    </xf>
    <xf numFmtId="3" fontId="0" fillId="0" borderId="0" xfId="0" applyNumberFormat="1" applyAlignment="1">
      <alignment horizontal="center"/>
    </xf>
    <xf numFmtId="3" fontId="4" fillId="0" borderId="6" xfId="0" applyNumberFormat="1" applyFont="1" applyBorder="1" applyAlignment="1">
      <alignment horizontal="right"/>
    </xf>
    <xf numFmtId="3" fontId="4" fillId="0" borderId="18" xfId="0" applyNumberFormat="1" applyFont="1" applyBorder="1" applyAlignment="1">
      <alignment horizontal="right"/>
    </xf>
    <xf numFmtId="3" fontId="4" fillId="0" borderId="0" xfId="0" applyNumberFormat="1" applyFont="1" applyAlignment="1">
      <alignment horizontal="right"/>
    </xf>
    <xf numFmtId="3" fontId="3" fillId="0" borderId="19" xfId="0" applyNumberFormat="1" applyFont="1" applyBorder="1" applyAlignment="1">
      <alignment horizontal="right"/>
    </xf>
    <xf numFmtId="3" fontId="4" fillId="0" borderId="0" xfId="0" applyNumberFormat="1" applyFont="1" applyAlignment="1">
      <alignment horizontal="center"/>
    </xf>
    <xf numFmtId="3" fontId="3" fillId="0" borderId="0" xfId="0" applyNumberFormat="1" applyFont="1" applyAlignment="1">
      <alignment horizontal="center"/>
    </xf>
    <xf numFmtId="3" fontId="3" fillId="0" borderId="0" xfId="0" applyNumberFormat="1" applyFont="1" applyAlignment="1">
      <alignment horizontal="center" wrapText="1"/>
    </xf>
    <xf numFmtId="3" fontId="4" fillId="2" borderId="9" xfId="0" applyNumberFormat="1" applyFont="1" applyFill="1" applyBorder="1" applyAlignment="1">
      <alignment horizontal="right" wrapText="1"/>
    </xf>
    <xf numFmtId="3" fontId="4" fillId="0" borderId="3" xfId="0" applyNumberFormat="1" applyFont="1" applyBorder="1" applyAlignment="1">
      <alignment horizontal="right"/>
    </xf>
    <xf numFmtId="3" fontId="3" fillId="0" borderId="2" xfId="0" applyNumberFormat="1" applyFont="1" applyBorder="1" applyAlignment="1">
      <alignment horizontal="right"/>
    </xf>
    <xf numFmtId="3" fontId="26" fillId="0" borderId="0" xfId="0" applyNumberFormat="1" applyFont="1" applyAlignment="1">
      <alignment horizontal="right"/>
    </xf>
    <xf numFmtId="3" fontId="4" fillId="0" borderId="9" xfId="0" applyNumberFormat="1" applyFont="1" applyBorder="1" applyAlignment="1">
      <alignment horizontal="right" wrapText="1"/>
    </xf>
    <xf numFmtId="3" fontId="3" fillId="0" borderId="0" xfId="0" quotePrefix="1" applyNumberFormat="1" applyFont="1" applyAlignment="1">
      <alignment horizontal="right"/>
    </xf>
    <xf numFmtId="0" fontId="4" fillId="0" borderId="3" xfId="0" applyFont="1" applyBorder="1"/>
    <xf numFmtId="0" fontId="3" fillId="0" borderId="2" xfId="0" applyFont="1" applyBorder="1"/>
    <xf numFmtId="3" fontId="3" fillId="0" borderId="0" xfId="0" applyNumberFormat="1" applyFont="1" applyAlignment="1">
      <alignment horizontal="right" wrapText="1"/>
    </xf>
    <xf numFmtId="3" fontId="0" fillId="0" borderId="0" xfId="0" applyNumberFormat="1" applyAlignment="1">
      <alignment horizontal="right" wrapText="1"/>
    </xf>
    <xf numFmtId="0" fontId="3" fillId="0" borderId="0" xfId="0" applyFont="1" applyAlignment="1">
      <alignment vertical="top"/>
    </xf>
    <xf numFmtId="0" fontId="4" fillId="0" borderId="0" xfId="0" applyFont="1" applyAlignment="1">
      <alignment horizontal="right"/>
    </xf>
    <xf numFmtId="0" fontId="4" fillId="2" borderId="0" xfId="0" applyFont="1" applyFill="1" applyAlignment="1">
      <alignment horizontal="right"/>
    </xf>
    <xf numFmtId="0" fontId="3" fillId="0" borderId="0" xfId="0" applyFont="1" applyAlignment="1">
      <alignment horizontal="right" wrapText="1"/>
    </xf>
    <xf numFmtId="0" fontId="5" fillId="0" borderId="9" xfId="0" applyFont="1" applyBorder="1"/>
    <xf numFmtId="0" fontId="29" fillId="0" borderId="0" xfId="0" applyFont="1" applyAlignment="1">
      <alignment horizontal="center"/>
    </xf>
    <xf numFmtId="3" fontId="31" fillId="0" borderId="0" xfId="0" applyNumberFormat="1" applyFont="1" applyAlignment="1">
      <alignment horizontal="right" wrapText="1"/>
    </xf>
    <xf numFmtId="3" fontId="4" fillId="0" borderId="0" xfId="0" applyNumberFormat="1" applyFont="1" applyAlignment="1">
      <alignment horizontal="right" wrapText="1"/>
    </xf>
    <xf numFmtId="0" fontId="3" fillId="2" borderId="0" xfId="0" applyFont="1" applyFill="1" applyAlignment="1">
      <alignment horizontal="right"/>
    </xf>
    <xf numFmtId="3" fontId="4" fillId="2" borderId="3" xfId="0" applyNumberFormat="1" applyFont="1" applyFill="1" applyBorder="1" applyAlignment="1">
      <alignment horizontal="right"/>
    </xf>
    <xf numFmtId="0" fontId="5" fillId="0" borderId="0" xfId="0" applyFont="1"/>
    <xf numFmtId="0" fontId="5" fillId="2" borderId="0" xfId="0" applyFont="1" applyFill="1" applyAlignment="1">
      <alignment horizontal="right"/>
    </xf>
    <xf numFmtId="3" fontId="5" fillId="0" borderId="0" xfId="0" applyNumberFormat="1" applyFont="1" applyAlignment="1">
      <alignment horizontal="right"/>
    </xf>
    <xf numFmtId="0" fontId="4" fillId="0" borderId="1" xfId="0" applyFont="1" applyBorder="1"/>
    <xf numFmtId="3" fontId="4" fillId="0" borderId="1" xfId="0" applyNumberFormat="1" applyFont="1" applyBorder="1" applyAlignment="1">
      <alignment horizontal="right"/>
    </xf>
    <xf numFmtId="3" fontId="4" fillId="2" borderId="1" xfId="0" applyNumberFormat="1" applyFont="1" applyFill="1" applyBorder="1" applyAlignment="1">
      <alignment horizontal="right"/>
    </xf>
    <xf numFmtId="3" fontId="31" fillId="0" borderId="0" xfId="0" applyNumberFormat="1" applyFont="1" applyAlignment="1">
      <alignment horizontal="right"/>
    </xf>
    <xf numFmtId="0" fontId="3" fillId="0" borderId="20" xfId="0" applyFont="1" applyBorder="1"/>
    <xf numFmtId="3" fontId="3" fillId="0" borderId="20" xfId="0" applyNumberFormat="1" applyFont="1" applyBorder="1" applyAlignment="1">
      <alignment horizontal="right"/>
    </xf>
    <xf numFmtId="0" fontId="3" fillId="0" borderId="20" xfId="0" applyFont="1" applyBorder="1" applyAlignment="1">
      <alignment horizontal="right"/>
    </xf>
    <xf numFmtId="3" fontId="3" fillId="2" borderId="20" xfId="0" applyNumberFormat="1" applyFont="1" applyFill="1" applyBorder="1" applyAlignment="1">
      <alignment horizontal="right"/>
    </xf>
    <xf numFmtId="167" fontId="4" fillId="2" borderId="5" xfId="0" applyNumberFormat="1" applyFont="1" applyFill="1" applyBorder="1" applyAlignment="1">
      <alignment horizontal="right"/>
    </xf>
    <xf numFmtId="3" fontId="4" fillId="2" borderId="5" xfId="0" applyNumberFormat="1" applyFont="1" applyFill="1" applyBorder="1" applyAlignment="1">
      <alignment horizontal="right"/>
    </xf>
    <xf numFmtId="0" fontId="0" fillId="2" borderId="0" xfId="0" applyFill="1" applyAlignment="1">
      <alignment horizontal="right"/>
    </xf>
    <xf numFmtId="3" fontId="0" fillId="2" borderId="0" xfId="0" applyNumberFormat="1" applyFill="1" applyAlignment="1">
      <alignment horizontal="right"/>
    </xf>
    <xf numFmtId="167" fontId="26" fillId="0" borderId="0" xfId="0" applyNumberFormat="1" applyFont="1" applyAlignment="1">
      <alignment horizontal="right" wrapText="1"/>
    </xf>
    <xf numFmtId="3" fontId="26" fillId="0" borderId="0" xfId="0" applyNumberFormat="1" applyFont="1" applyAlignment="1">
      <alignment horizontal="right" wrapText="1"/>
    </xf>
    <xf numFmtId="0" fontId="5" fillId="0" borderId="9" xfId="0" applyFont="1" applyBorder="1" applyAlignment="1">
      <alignment horizontal="left"/>
    </xf>
    <xf numFmtId="9" fontId="3" fillId="0" borderId="0" xfId="1" applyFont="1"/>
    <xf numFmtId="0" fontId="4" fillId="0" borderId="9" xfId="0" applyFont="1" applyBorder="1"/>
    <xf numFmtId="0" fontId="3" fillId="2" borderId="0" xfId="0" applyFont="1" applyFill="1" applyAlignment="1">
      <alignment wrapText="1"/>
    </xf>
    <xf numFmtId="0" fontId="5" fillId="0" borderId="1" xfId="0" applyFont="1" applyBorder="1"/>
    <xf numFmtId="0" fontId="4" fillId="2" borderId="0" xfId="0" applyFont="1" applyFill="1" applyAlignment="1">
      <alignment wrapText="1"/>
    </xf>
    <xf numFmtId="3" fontId="4" fillId="2" borderId="0" xfId="0" applyNumberFormat="1" applyFont="1" applyFill="1"/>
    <xf numFmtId="3" fontId="4" fillId="2" borderId="0" xfId="0" applyNumberFormat="1" applyFont="1" applyFill="1" applyAlignment="1">
      <alignment wrapText="1"/>
    </xf>
    <xf numFmtId="3" fontId="5" fillId="0" borderId="1" xfId="0" applyNumberFormat="1" applyFont="1" applyBorder="1" applyAlignment="1">
      <alignment horizontal="right"/>
    </xf>
    <xf numFmtId="0" fontId="36" fillId="7" borderId="0" xfId="0" applyFont="1" applyFill="1" applyAlignment="1">
      <alignment wrapText="1"/>
    </xf>
    <xf numFmtId="0" fontId="26" fillId="0" borderId="0" xfId="0" applyFont="1"/>
    <xf numFmtId="3" fontId="26" fillId="0" borderId="6" xfId="0" applyNumberFormat="1" applyFont="1" applyBorder="1"/>
    <xf numFmtId="3" fontId="2" fillId="6" borderId="0" xfId="0" applyNumberFormat="1" applyFont="1" applyFill="1"/>
    <xf numFmtId="3" fontId="0" fillId="6" borderId="10" xfId="0" applyNumberFormat="1" applyFill="1" applyBorder="1"/>
    <xf numFmtId="3" fontId="0" fillId="6" borderId="6" xfId="0" applyNumberFormat="1" applyFill="1" applyBorder="1"/>
    <xf numFmtId="3" fontId="0" fillId="6" borderId="0" xfId="0" applyNumberFormat="1" applyFill="1"/>
    <xf numFmtId="3" fontId="0" fillId="0" borderId="6" xfId="0" applyNumberFormat="1" applyBorder="1" applyAlignment="1">
      <alignment horizontal="right"/>
    </xf>
    <xf numFmtId="3" fontId="0" fillId="0" borderId="7" xfId="0" applyNumberFormat="1" applyBorder="1"/>
    <xf numFmtId="3" fontId="0" fillId="0" borderId="6" xfId="0" applyNumberFormat="1" applyBorder="1"/>
    <xf numFmtId="0" fontId="2" fillId="0" borderId="9" xfId="0" applyFont="1" applyBorder="1" applyAlignment="1">
      <alignment horizontal="right" wrapText="1"/>
    </xf>
    <xf numFmtId="3" fontId="2" fillId="0" borderId="0" xfId="0" applyNumberFormat="1" applyFont="1"/>
    <xf numFmtId="0" fontId="0" fillId="0" borderId="1" xfId="0" applyBorder="1"/>
    <xf numFmtId="0" fontId="16" fillId="7" borderId="0" xfId="0" applyFont="1" applyFill="1"/>
    <xf numFmtId="0" fontId="18" fillId="7" borderId="0" xfId="0" applyFont="1" applyFill="1"/>
    <xf numFmtId="0" fontId="15" fillId="7" borderId="0" xfId="0" applyFont="1" applyFill="1"/>
    <xf numFmtId="0" fontId="18" fillId="7" borderId="12" xfId="0" applyFont="1" applyFill="1" applyBorder="1"/>
    <xf numFmtId="0" fontId="18" fillId="7" borderId="12" xfId="0" applyFont="1" applyFill="1" applyBorder="1" applyAlignment="1">
      <alignment horizontal="right" wrapText="1"/>
    </xf>
    <xf numFmtId="0" fontId="18" fillId="2" borderId="12" xfId="0" applyFont="1" applyFill="1" applyBorder="1" applyAlignment="1">
      <alignment horizontal="right" wrapText="1"/>
    </xf>
    <xf numFmtId="0" fontId="18" fillId="7" borderId="0" xfId="0" applyFont="1" applyFill="1" applyAlignment="1">
      <alignment wrapText="1"/>
    </xf>
    <xf numFmtId="3" fontId="15" fillId="7" borderId="0" xfId="0" applyNumberFormat="1" applyFont="1" applyFill="1"/>
    <xf numFmtId="3" fontId="16" fillId="7" borderId="0" xfId="0" applyNumberFormat="1" applyFont="1" applyFill="1"/>
    <xf numFmtId="0" fontId="16" fillId="7" borderId="0" xfId="0" quotePrefix="1" applyFont="1" applyFill="1" applyAlignment="1">
      <alignment horizontal="right"/>
    </xf>
    <xf numFmtId="0" fontId="16" fillId="7" borderId="0" xfId="0" applyFont="1" applyFill="1" applyAlignment="1">
      <alignment horizontal="right"/>
    </xf>
    <xf numFmtId="3" fontId="16" fillId="7" borderId="0" xfId="0" applyNumberFormat="1" applyFont="1" applyFill="1" applyAlignment="1">
      <alignment horizontal="right"/>
    </xf>
    <xf numFmtId="0" fontId="16" fillId="7" borderId="1" xfId="0" applyFont="1" applyFill="1" applyBorder="1"/>
    <xf numFmtId="3" fontId="16" fillId="7" borderId="1" xfId="0" applyNumberFormat="1" applyFont="1" applyFill="1" applyBorder="1"/>
    <xf numFmtId="3" fontId="16" fillId="7" borderId="1" xfId="0" applyNumberFormat="1" applyFont="1" applyFill="1" applyBorder="1" applyAlignment="1">
      <alignment horizontal="right"/>
    </xf>
    <xf numFmtId="0" fontId="16" fillId="7" borderId="1" xfId="0" applyFont="1" applyFill="1" applyBorder="1" applyAlignment="1">
      <alignment horizontal="right"/>
    </xf>
    <xf numFmtId="3" fontId="15" fillId="7" borderId="0" xfId="0" applyNumberFormat="1" applyFont="1" applyFill="1" applyAlignment="1">
      <alignment horizontal="right"/>
    </xf>
    <xf numFmtId="0" fontId="15" fillId="7" borderId="0" xfId="0" applyFont="1" applyFill="1" applyAlignment="1">
      <alignment horizontal="right"/>
    </xf>
    <xf numFmtId="3" fontId="15" fillId="2" borderId="0" xfId="0" applyNumberFormat="1" applyFont="1" applyFill="1"/>
    <xf numFmtId="166" fontId="3" fillId="0" borderId="0" xfId="1" applyNumberFormat="1" applyFont="1"/>
    <xf numFmtId="165" fontId="3" fillId="0" borderId="0" xfId="1" applyNumberFormat="1" applyFont="1" applyFill="1"/>
    <xf numFmtId="0" fontId="34" fillId="7" borderId="0" xfId="0" applyFont="1" applyFill="1" applyAlignment="1">
      <alignment wrapText="1"/>
    </xf>
    <xf numFmtId="166" fontId="0" fillId="0" borderId="0" xfId="1" applyNumberFormat="1" applyFont="1"/>
    <xf numFmtId="3" fontId="19" fillId="0" borderId="0" xfId="0" applyNumberFormat="1" applyFont="1" applyAlignment="1">
      <alignment horizontal="right"/>
    </xf>
    <xf numFmtId="3" fontId="26" fillId="0" borderId="0" xfId="0" applyNumberFormat="1" applyFont="1"/>
    <xf numFmtId="3" fontId="16" fillId="0" borderId="0" xfId="0" applyNumberFormat="1" applyFont="1" applyAlignment="1">
      <alignment horizontal="right"/>
    </xf>
    <xf numFmtId="3" fontId="18" fillId="5" borderId="12" xfId="0" applyNumberFormat="1" applyFont="1" applyFill="1" applyBorder="1" applyAlignment="1">
      <alignment horizontal="right" wrapText="1"/>
    </xf>
    <xf numFmtId="3" fontId="17" fillId="0" borderId="1" xfId="0" applyNumberFormat="1" applyFont="1" applyBorder="1" applyAlignment="1">
      <alignment horizontal="right"/>
    </xf>
    <xf numFmtId="3" fontId="3" fillId="0" borderId="10" xfId="0" applyNumberFormat="1" applyFont="1" applyBorder="1"/>
    <xf numFmtId="3" fontId="38" fillId="0" borderId="0" xfId="0" applyNumberFormat="1" applyFont="1" applyAlignment="1">
      <alignment horizontal="right"/>
    </xf>
    <xf numFmtId="3" fontId="39" fillId="0" borderId="3" xfId="0" applyNumberFormat="1" applyFont="1" applyBorder="1" applyAlignment="1">
      <alignment horizontal="right"/>
    </xf>
    <xf numFmtId="3" fontId="3" fillId="0" borderId="0" xfId="1" applyNumberFormat="1" applyFont="1"/>
    <xf numFmtId="3" fontId="17" fillId="0" borderId="2" xfId="0" quotePrefix="1" applyNumberFormat="1" applyFont="1" applyBorder="1" applyAlignment="1">
      <alignment horizontal="right"/>
    </xf>
    <xf numFmtId="3" fontId="17" fillId="0" borderId="0" xfId="1" applyNumberFormat="1" applyFont="1" applyFill="1" applyAlignment="1">
      <alignment horizontal="right"/>
    </xf>
    <xf numFmtId="0" fontId="40" fillId="0" borderId="0" xfId="0" applyFont="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 fontId="22" fillId="0" borderId="1" xfId="0" applyNumberFormat="1" applyFont="1" applyBorder="1" applyAlignment="1">
      <alignment horizontal="right"/>
    </xf>
    <xf numFmtId="3" fontId="15" fillId="0" borderId="0" xfId="0" applyNumberFormat="1" applyFont="1"/>
    <xf numFmtId="3" fontId="16" fillId="0" borderId="0" xfId="0" applyNumberFormat="1" applyFont="1"/>
    <xf numFmtId="0" fontId="16" fillId="0" borderId="0" xfId="0" quotePrefix="1" applyFont="1" applyAlignment="1">
      <alignment horizontal="right"/>
    </xf>
    <xf numFmtId="3" fontId="16" fillId="0" borderId="1" xfId="0" applyNumberFormat="1" applyFont="1" applyBorder="1" applyAlignment="1">
      <alignment horizontal="right"/>
    </xf>
    <xf numFmtId="3" fontId="15" fillId="0" borderId="0" xfId="0" applyNumberFormat="1" applyFont="1" applyAlignment="1">
      <alignment horizontal="right"/>
    </xf>
    <xf numFmtId="3" fontId="16" fillId="0" borderId="1" xfId="0" applyNumberFormat="1" applyFont="1" applyBorder="1"/>
    <xf numFmtId="0" fontId="5" fillId="0" borderId="0" xfId="0" applyFont="1" applyAlignment="1">
      <alignment horizontal="right"/>
    </xf>
    <xf numFmtId="0" fontId="27" fillId="0" borderId="0" xfId="0" applyFont="1" applyAlignment="1">
      <alignment horizontal="center"/>
    </xf>
    <xf numFmtId="0" fontId="16" fillId="0" borderId="0" xfId="0" applyFont="1" applyAlignment="1">
      <alignment horizontal="left"/>
    </xf>
    <xf numFmtId="167" fontId="4" fillId="0" borderId="5" xfId="0" applyNumberFormat="1" applyFont="1" applyBorder="1" applyAlignment="1">
      <alignment horizontal="right"/>
    </xf>
    <xf numFmtId="2" fontId="17" fillId="0" borderId="0" xfId="0" applyNumberFormat="1" applyFont="1" applyAlignment="1">
      <alignment horizontal="right"/>
    </xf>
    <xf numFmtId="3" fontId="26" fillId="2" borderId="0" xfId="0" applyNumberFormat="1" applyFont="1" applyFill="1" applyAlignment="1">
      <alignment horizontal="right"/>
    </xf>
    <xf numFmtId="0" fontId="26" fillId="2" borderId="0" xfId="0" applyFont="1" applyFill="1" applyAlignment="1">
      <alignment horizontal="right"/>
    </xf>
    <xf numFmtId="0" fontId="41" fillId="2" borderId="0" xfId="0" applyFont="1" applyFill="1" applyAlignment="1">
      <alignment horizontal="right"/>
    </xf>
    <xf numFmtId="3" fontId="31" fillId="2" borderId="0" xfId="0" applyNumberFormat="1" applyFont="1" applyFill="1" applyAlignment="1">
      <alignment horizontal="right"/>
    </xf>
    <xf numFmtId="0" fontId="31" fillId="2" borderId="0" xfId="0" applyFont="1" applyFill="1" applyAlignment="1">
      <alignment horizontal="right"/>
    </xf>
    <xf numFmtId="167" fontId="10" fillId="2" borderId="0" xfId="0" applyNumberFormat="1" applyFont="1" applyFill="1" applyAlignment="1">
      <alignment horizontal="right"/>
    </xf>
    <xf numFmtId="0" fontId="18" fillId="5" borderId="13" xfId="0" applyFont="1" applyFill="1" applyBorder="1" applyAlignment="1">
      <alignment horizontal="left" vertical="center" wrapText="1"/>
    </xf>
    <xf numFmtId="0" fontId="18" fillId="0" borderId="13" xfId="0" applyFont="1" applyBorder="1" applyAlignment="1">
      <alignment horizontal="left" vertical="center" wrapText="1"/>
    </xf>
    <xf numFmtId="0" fontId="0" fillId="0" borderId="0" xfId="0" applyAlignment="1">
      <alignment horizontal="left" vertical="center"/>
    </xf>
    <xf numFmtId="0" fontId="17" fillId="5" borderId="14" xfId="0" applyFont="1" applyFill="1" applyBorder="1" applyAlignment="1">
      <alignment horizontal="left" vertical="center" wrapText="1"/>
    </xf>
    <xf numFmtId="0" fontId="17" fillId="0" borderId="14" xfId="0" applyFont="1" applyBorder="1" applyAlignment="1">
      <alignment horizontal="left" vertical="center" wrapText="1"/>
    </xf>
    <xf numFmtId="0" fontId="17" fillId="2" borderId="0" xfId="0" applyFont="1" applyFill="1"/>
    <xf numFmtId="0" fontId="17" fillId="2" borderId="0" xfId="0" applyFont="1" applyFill="1" applyAlignment="1">
      <alignment horizontal="right"/>
    </xf>
    <xf numFmtId="3" fontId="17" fillId="2" borderId="0" xfId="0" applyNumberFormat="1" applyFont="1" applyFill="1" applyAlignment="1">
      <alignment horizontal="right"/>
    </xf>
    <xf numFmtId="3" fontId="17" fillId="7" borderId="0" xfId="0" applyNumberFormat="1" applyFont="1" applyFill="1" applyAlignment="1">
      <alignment horizontal="right"/>
    </xf>
    <xf numFmtId="164" fontId="3" fillId="2" borderId="0" xfId="12" applyNumberFormat="1" applyFont="1" applyFill="1"/>
    <xf numFmtId="0" fontId="17" fillId="7" borderId="0" xfId="0" applyFont="1" applyFill="1" applyAlignment="1">
      <alignment horizontal="right"/>
    </xf>
    <xf numFmtId="0" fontId="18" fillId="2" borderId="21" xfId="0" applyFont="1" applyFill="1" applyBorder="1"/>
    <xf numFmtId="0" fontId="17" fillId="2" borderId="21" xfId="0" applyFont="1" applyFill="1" applyBorder="1"/>
    <xf numFmtId="0" fontId="17" fillId="7" borderId="21" xfId="0" applyFont="1" applyFill="1" applyBorder="1" applyAlignment="1">
      <alignment wrapText="1"/>
    </xf>
    <xf numFmtId="0" fontId="3" fillId="2" borderId="21" xfId="0" applyFont="1" applyFill="1" applyBorder="1"/>
    <xf numFmtId="0" fontId="18" fillId="2" borderId="22" xfId="0" applyFont="1" applyFill="1" applyBorder="1"/>
    <xf numFmtId="166" fontId="18" fillId="7" borderId="12" xfId="1" applyNumberFormat="1" applyFont="1" applyFill="1" applyBorder="1" applyAlignment="1">
      <alignment horizontal="right" wrapText="1"/>
    </xf>
    <xf numFmtId="166" fontId="18" fillId="2" borderId="12" xfId="1" applyNumberFormat="1" applyFont="1" applyFill="1" applyBorder="1" applyAlignment="1">
      <alignment horizontal="right" wrapText="1"/>
    </xf>
    <xf numFmtId="164" fontId="18" fillId="7" borderId="12" xfId="12" applyNumberFormat="1" applyFont="1" applyFill="1" applyBorder="1" applyAlignment="1">
      <alignment horizontal="right" wrapText="1"/>
    </xf>
    <xf numFmtId="0" fontId="42" fillId="2" borderId="21" xfId="0" applyFont="1" applyFill="1" applyBorder="1" applyAlignment="1">
      <alignment wrapText="1"/>
    </xf>
    <xf numFmtId="3" fontId="3" fillId="2" borderId="0" xfId="0" applyNumberFormat="1" applyFont="1" applyFill="1"/>
    <xf numFmtId="165" fontId="3" fillId="2" borderId="0" xfId="0" applyNumberFormat="1" applyFont="1" applyFill="1"/>
    <xf numFmtId="0" fontId="18" fillId="2" borderId="0" xfId="0" applyFont="1" applyFill="1" applyAlignment="1">
      <alignment horizontal="right" wrapText="1"/>
    </xf>
    <xf numFmtId="166" fontId="18" fillId="2" borderId="0" xfId="1" applyNumberFormat="1" applyFont="1" applyFill="1" applyBorder="1" applyAlignment="1">
      <alignment horizontal="right" wrapText="1"/>
    </xf>
    <xf numFmtId="164" fontId="18" fillId="2" borderId="0" xfId="12" applyNumberFormat="1" applyFont="1" applyFill="1" applyBorder="1" applyAlignment="1">
      <alignment horizontal="right" wrapText="1"/>
    </xf>
    <xf numFmtId="0" fontId="43" fillId="0" borderId="0" xfId="0" applyFont="1"/>
    <xf numFmtId="0" fontId="19" fillId="0" borderId="0" xfId="0" applyFont="1"/>
    <xf numFmtId="0" fontId="19" fillId="7" borderId="0" xfId="0" applyFont="1" applyFill="1"/>
    <xf numFmtId="0" fontId="26" fillId="2" borderId="0" xfId="0" applyFont="1" applyFill="1"/>
    <xf numFmtId="3" fontId="18" fillId="7" borderId="0" xfId="0" applyNumberFormat="1" applyFont="1" applyFill="1"/>
    <xf numFmtId="3" fontId="17" fillId="7" borderId="0" xfId="0" applyNumberFormat="1" applyFont="1" applyFill="1"/>
    <xf numFmtId="0" fontId="17" fillId="7" borderId="0" xfId="0" applyFont="1" applyFill="1"/>
    <xf numFmtId="3" fontId="17" fillId="7" borderId="1" xfId="0" applyNumberFormat="1" applyFont="1" applyFill="1" applyBorder="1"/>
    <xf numFmtId="3" fontId="17" fillId="7" borderId="1" xfId="0" applyNumberFormat="1" applyFont="1" applyFill="1" applyBorder="1" applyAlignment="1">
      <alignment horizontal="right"/>
    </xf>
    <xf numFmtId="3" fontId="18" fillId="7" borderId="0" xfId="0" applyNumberFormat="1" applyFont="1" applyFill="1" applyAlignment="1">
      <alignment horizontal="right"/>
    </xf>
    <xf numFmtId="3" fontId="26" fillId="0" borderId="0" xfId="0" applyNumberFormat="1" applyFont="1" applyAlignment="1">
      <alignment horizontal="center"/>
    </xf>
    <xf numFmtId="3" fontId="31" fillId="0" borderId="0" xfId="0" applyNumberFormat="1" applyFont="1" applyAlignment="1">
      <alignment horizontal="center"/>
    </xf>
    <xf numFmtId="3" fontId="26" fillId="0" borderId="0" xfId="0" applyNumberFormat="1" applyFont="1" applyAlignment="1">
      <alignment horizontal="center" wrapText="1"/>
    </xf>
    <xf numFmtId="0" fontId="31" fillId="0" borderId="0" xfId="0" applyFont="1" applyAlignment="1">
      <alignment horizontal="right"/>
    </xf>
    <xf numFmtId="0" fontId="19" fillId="5" borderId="0" xfId="0" applyFont="1" applyFill="1" applyAlignment="1">
      <alignment horizontal="right"/>
    </xf>
    <xf numFmtId="0" fontId="26" fillId="0" borderId="0" xfId="0" applyFont="1" applyAlignment="1">
      <alignment horizontal="right"/>
    </xf>
    <xf numFmtId="0" fontId="44" fillId="0" borderId="0" xfId="0" applyFont="1" applyAlignment="1">
      <alignment horizontal="center"/>
    </xf>
    <xf numFmtId="0" fontId="26" fillId="0" borderId="0" xfId="0" applyFont="1" applyAlignment="1">
      <alignment horizontal="right" wrapText="1"/>
    </xf>
    <xf numFmtId="0" fontId="17" fillId="0" borderId="1" xfId="0" quotePrefix="1" applyFont="1" applyBorder="1" applyAlignment="1">
      <alignment horizontal="right"/>
    </xf>
    <xf numFmtId="0" fontId="18" fillId="0" borderId="0" xfId="0" quotePrefix="1" applyFont="1" applyAlignment="1">
      <alignment horizontal="right"/>
    </xf>
    <xf numFmtId="168" fontId="17" fillId="0" borderId="0" xfId="0" applyNumberFormat="1" applyFont="1" applyAlignment="1">
      <alignment horizontal="right"/>
    </xf>
    <xf numFmtId="3" fontId="18" fillId="0" borderId="0" xfId="0" applyNumberFormat="1" applyFont="1"/>
    <xf numFmtId="3" fontId="17" fillId="0" borderId="0" xfId="0" applyNumberFormat="1" applyFont="1"/>
    <xf numFmtId="9" fontId="26" fillId="0" borderId="0" xfId="1" applyFont="1"/>
    <xf numFmtId="0" fontId="0" fillId="6" borderId="0" xfId="0" applyFill="1"/>
    <xf numFmtId="0" fontId="46" fillId="6" borderId="0" xfId="0" applyFont="1" applyFill="1" applyAlignment="1">
      <alignment vertical="center"/>
    </xf>
    <xf numFmtId="9" fontId="46" fillId="6" borderId="0" xfId="0" applyNumberFormat="1" applyFont="1" applyFill="1" applyAlignment="1">
      <alignment vertical="center"/>
    </xf>
    <xf numFmtId="0" fontId="45" fillId="6" borderId="0" xfId="0" applyFont="1" applyFill="1" applyAlignment="1">
      <alignment vertical="center"/>
    </xf>
    <xf numFmtId="9" fontId="45" fillId="6" borderId="0" xfId="0" applyNumberFormat="1" applyFont="1" applyFill="1" applyAlignment="1">
      <alignment vertical="center"/>
    </xf>
    <xf numFmtId="0" fontId="16" fillId="0" borderId="1" xfId="0" applyFont="1" applyBorder="1"/>
    <xf numFmtId="3" fontId="3" fillId="0" borderId="1" xfId="0" applyNumberFormat="1" applyFont="1" applyBorder="1" applyAlignment="1">
      <alignment horizontal="right"/>
    </xf>
    <xf numFmtId="2" fontId="17" fillId="5" borderId="0" xfId="0" applyNumberFormat="1" applyFont="1" applyFill="1" applyAlignment="1">
      <alignment horizontal="right"/>
    </xf>
    <xf numFmtId="3" fontId="19" fillId="2" borderId="0" xfId="0" applyNumberFormat="1" applyFont="1" applyFill="1" applyAlignment="1">
      <alignment horizontal="right"/>
    </xf>
    <xf numFmtId="3" fontId="19" fillId="7" borderId="0" xfId="0" applyNumberFormat="1" applyFont="1" applyFill="1" applyAlignment="1">
      <alignment horizontal="right"/>
    </xf>
    <xf numFmtId="0" fontId="19" fillId="2" borderId="0" xfId="0" applyFont="1" applyFill="1" applyAlignment="1">
      <alignment horizontal="right"/>
    </xf>
    <xf numFmtId="3" fontId="19" fillId="7" borderId="0" xfId="0" applyNumberFormat="1" applyFont="1" applyFill="1"/>
    <xf numFmtId="0" fontId="3" fillId="0" borderId="6"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wrapText="1"/>
    </xf>
    <xf numFmtId="0" fontId="4" fillId="0" borderId="1" xfId="0" applyFont="1" applyBorder="1" applyAlignment="1">
      <alignment horizontal="center" wrapText="1"/>
    </xf>
    <xf numFmtId="0" fontId="24" fillId="0" borderId="15" xfId="0" applyFont="1" applyBorder="1" applyAlignment="1">
      <alignment horizontal="center"/>
    </xf>
    <xf numFmtId="0" fontId="29" fillId="0" borderId="0" xfId="0" applyFont="1" applyAlignment="1">
      <alignment horizontal="center"/>
    </xf>
  </cellXfs>
  <cellStyles count="13">
    <cellStyle name="_Table" xfId="11" xr:uid="{E58453D1-3A83-4B0C-A8CC-992D319286D5}"/>
    <cellStyle name="Comma 2" xfId="6" xr:uid="{85A360E8-4DD3-403F-BA07-F36C8A0FE4AD}"/>
    <cellStyle name="Comparable period" xfId="5" xr:uid="{75B89D77-8142-40CA-863C-417D8B0839E1}"/>
    <cellStyle name="Heading 1 2" xfId="2" xr:uid="{9C8085B9-4B95-455C-BC1D-7D1EC284A3FF}"/>
    <cellStyle name="Hyperlänk" xfId="9" builtinId="8"/>
    <cellStyle name="Hyperlink 2" xfId="10" xr:uid="{17CB237A-8921-4A69-A3DF-360BBA8C2FC2}"/>
    <cellStyle name="Last period" xfId="4" xr:uid="{1DDBFB40-53D3-4589-9819-E94A30654E6E}"/>
    <cellStyle name="Normal" xfId="0" builtinId="0"/>
    <cellStyle name="Normal 3 2" xfId="8" xr:uid="{868A0C5F-F917-4761-B6A6-9010C2C6A1EB}"/>
    <cellStyle name="Procent" xfId="1" builtinId="5"/>
    <cellStyle name="Style 1" xfId="7" xr:uid="{2B7F731A-D6BB-4565-82AA-7FBB0774FA0F}"/>
    <cellStyle name="Table text (left)" xfId="3" xr:uid="{B27E1949-275C-4B7F-9FDE-CCC7942D547E}"/>
    <cellStyle name="Tusental" xfId="12" builtinId="3"/>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3</xdr:col>
      <xdr:colOff>266700</xdr:colOff>
      <xdr:row>1</xdr:row>
      <xdr:rowOff>77309</xdr:rowOff>
    </xdr:to>
    <xdr:pic>
      <xdr:nvPicPr>
        <xdr:cNvPr id="3" name="Picture 2">
          <a:extLst>
            <a:ext uri="{FF2B5EF4-FFF2-40B4-BE49-F238E27FC236}">
              <a16:creationId xmlns:a16="http://schemas.microsoft.com/office/drawing/2014/main" id="{1908F637-6DDD-48A3-BA58-F62233DD218B}"/>
            </a:ext>
          </a:extLst>
        </xdr:cNvPr>
        <xdr:cNvPicPr>
          <a:picLocks noChangeAspect="1"/>
        </xdr:cNvPicPr>
      </xdr:nvPicPr>
      <xdr:blipFill>
        <a:blip xmlns:r="http://schemas.openxmlformats.org/officeDocument/2006/relationships" r:embed="rId1"/>
        <a:stretch>
          <a:fillRect/>
        </a:stretch>
      </xdr:blipFill>
      <xdr:spPr>
        <a:xfrm>
          <a:off x="0" y="133350"/>
          <a:ext cx="1724025" cy="134459"/>
        </a:xfrm>
        <a:prstGeom prst="rect">
          <a:avLst/>
        </a:prstGeom>
      </xdr:spPr>
    </xdr:pic>
    <xdr:clientData/>
  </xdr:twoCellAnchor>
  <xdr:twoCellAnchor editAs="oneCell">
    <xdr:from>
      <xdr:col>0</xdr:col>
      <xdr:colOff>217487</xdr:colOff>
      <xdr:row>3</xdr:row>
      <xdr:rowOff>0</xdr:rowOff>
    </xdr:from>
    <xdr:to>
      <xdr:col>11</xdr:col>
      <xdr:colOff>153987</xdr:colOff>
      <xdr:row>18</xdr:row>
      <xdr:rowOff>0</xdr:rowOff>
    </xdr:to>
    <xdr:pic>
      <xdr:nvPicPr>
        <xdr:cNvPr id="2" name="Picture 1">
          <a:extLst>
            <a:ext uri="{FF2B5EF4-FFF2-40B4-BE49-F238E27FC236}">
              <a16:creationId xmlns:a16="http://schemas.microsoft.com/office/drawing/2014/main" id="{2962903D-36BC-AA26-8961-8829A280C5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217487" y="552450"/>
          <a:ext cx="5524500"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0</xdr:rowOff>
    </xdr:from>
    <xdr:ext cx="8105774" cy="1171575"/>
    <xdr:sp macro="" textlink="">
      <xdr:nvSpPr>
        <xdr:cNvPr id="4" name="TextBox 3">
          <a:extLst>
            <a:ext uri="{FF2B5EF4-FFF2-40B4-BE49-F238E27FC236}">
              <a16:creationId xmlns:a16="http://schemas.microsoft.com/office/drawing/2014/main" id="{A957C75F-D6BC-41D7-AC74-AA92ED8E936A}"/>
            </a:ext>
          </a:extLst>
        </xdr:cNvPr>
        <xdr:cNvSpPr txBox="1"/>
      </xdr:nvSpPr>
      <xdr:spPr>
        <a:xfrm>
          <a:off x="0" y="381000"/>
          <a:ext cx="8105774" cy="1171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v-SE" sz="1100">
              <a:solidFill>
                <a:sysClr val="windowText" lastClr="000000"/>
              </a:solidFill>
              <a:latin typeface="+mn-lt"/>
            </a:rPr>
            <a:t>The alternative performance measures presented and disclosed in this interim report are used internally by management in conjunction with IFRS measures to measure performance and make decisions regarding the future direction of the business. The Group believes that these alternative performance measures, when provided in combination with reported IFRS measures, provide helpful supplementary information for investors. These alternative performance measures are not a substitute for or superior to IFRS measures and should be used in conjunction with reported IFRS measures. Further, these alternative performance measures, as defined by the Group, may not be comparable to other similarly titled measures used by other groups.</a:t>
          </a:r>
        </a:p>
      </xdr:txBody>
    </xdr:sp>
    <xdr:clientData/>
  </xdr:oneCellAnchor>
  <xdr:twoCellAnchor editAs="oneCell">
    <xdr:from>
      <xdr:col>1</xdr:col>
      <xdr:colOff>2343150</xdr:colOff>
      <xdr:row>0</xdr:row>
      <xdr:rowOff>85725</xdr:rowOff>
    </xdr:from>
    <xdr:to>
      <xdr:col>1</xdr:col>
      <xdr:colOff>4067175</xdr:colOff>
      <xdr:row>1</xdr:row>
      <xdr:rowOff>29684</xdr:rowOff>
    </xdr:to>
    <xdr:pic>
      <xdr:nvPicPr>
        <xdr:cNvPr id="5" name="Picture 4">
          <a:extLst>
            <a:ext uri="{FF2B5EF4-FFF2-40B4-BE49-F238E27FC236}">
              <a16:creationId xmlns:a16="http://schemas.microsoft.com/office/drawing/2014/main" id="{9162FA75-15E1-44BA-863A-D132505D4E74}"/>
            </a:ext>
          </a:extLst>
        </xdr:cNvPr>
        <xdr:cNvPicPr>
          <a:picLocks noChangeAspect="1"/>
        </xdr:cNvPicPr>
      </xdr:nvPicPr>
      <xdr:blipFill>
        <a:blip xmlns:r="http://schemas.openxmlformats.org/officeDocument/2006/relationships" r:embed="rId1"/>
        <a:stretch>
          <a:fillRect/>
        </a:stretch>
      </xdr:blipFill>
      <xdr:spPr>
        <a:xfrm>
          <a:off x="3924300" y="85725"/>
          <a:ext cx="1724025" cy="1344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352425</xdr:colOff>
      <xdr:row>8</xdr:row>
      <xdr:rowOff>0</xdr:rowOff>
    </xdr:to>
    <xdr:pic>
      <xdr:nvPicPr>
        <xdr:cNvPr id="4" name="Picture 3">
          <a:extLst>
            <a:ext uri="{FF2B5EF4-FFF2-40B4-BE49-F238E27FC236}">
              <a16:creationId xmlns:a16="http://schemas.microsoft.com/office/drawing/2014/main" id="{8A92032A-7ED7-4634-AC04-C479AC75E71F}"/>
            </a:ext>
          </a:extLst>
        </xdr:cNvPr>
        <xdr:cNvPicPr>
          <a:picLocks noChangeAspect="1"/>
        </xdr:cNvPicPr>
      </xdr:nvPicPr>
      <xdr:blipFill>
        <a:blip xmlns:r="http://schemas.openxmlformats.org/officeDocument/2006/relationships" r:embed="rId1"/>
        <a:stretch>
          <a:fillRect/>
        </a:stretch>
      </xdr:blipFill>
      <xdr:spPr>
        <a:xfrm>
          <a:off x="0" y="0"/>
          <a:ext cx="1514475" cy="1514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349885</xdr:colOff>
      <xdr:row>8</xdr:row>
      <xdr:rowOff>0</xdr:rowOff>
    </xdr:to>
    <xdr:pic>
      <xdr:nvPicPr>
        <xdr:cNvPr id="3" name="Picture 2">
          <a:extLst>
            <a:ext uri="{FF2B5EF4-FFF2-40B4-BE49-F238E27FC236}">
              <a16:creationId xmlns:a16="http://schemas.microsoft.com/office/drawing/2014/main" id="{C00CB556-7397-48A4-A113-0C015104FAD4}"/>
            </a:ext>
          </a:extLst>
        </xdr:cNvPr>
        <xdr:cNvPicPr>
          <a:picLocks noChangeAspect="1"/>
        </xdr:cNvPicPr>
      </xdr:nvPicPr>
      <xdr:blipFill>
        <a:blip xmlns:r="http://schemas.openxmlformats.org/officeDocument/2006/relationships" r:embed="rId1"/>
        <a:stretch>
          <a:fillRect/>
        </a:stretch>
      </xdr:blipFill>
      <xdr:spPr>
        <a:xfrm>
          <a:off x="0" y="0"/>
          <a:ext cx="1514475" cy="1514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293370</xdr:colOff>
      <xdr:row>8</xdr:row>
      <xdr:rowOff>0</xdr:rowOff>
    </xdr:to>
    <xdr:pic>
      <xdr:nvPicPr>
        <xdr:cNvPr id="2" name="Picture 1">
          <a:extLst>
            <a:ext uri="{FF2B5EF4-FFF2-40B4-BE49-F238E27FC236}">
              <a16:creationId xmlns:a16="http://schemas.microsoft.com/office/drawing/2014/main" id="{F5474B51-205E-41A4-A81B-ED3F9DFFD543}"/>
            </a:ext>
          </a:extLst>
        </xdr:cNvPr>
        <xdr:cNvPicPr>
          <a:picLocks noChangeAspect="1"/>
        </xdr:cNvPicPr>
      </xdr:nvPicPr>
      <xdr:blipFill>
        <a:blip xmlns:r="http://schemas.openxmlformats.org/officeDocument/2006/relationships" r:embed="rId1"/>
        <a:stretch>
          <a:fillRect/>
        </a:stretch>
      </xdr:blipFill>
      <xdr:spPr>
        <a:xfrm>
          <a:off x="0" y="0"/>
          <a:ext cx="1514475" cy="152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359315</xdr:colOff>
      <xdr:row>8</xdr:row>
      <xdr:rowOff>9309</xdr:rowOff>
    </xdr:to>
    <xdr:pic>
      <xdr:nvPicPr>
        <xdr:cNvPr id="2" name="Picture 1">
          <a:extLst>
            <a:ext uri="{FF2B5EF4-FFF2-40B4-BE49-F238E27FC236}">
              <a16:creationId xmlns:a16="http://schemas.microsoft.com/office/drawing/2014/main" id="{F1797834-052F-426F-8F15-5A06A5F02D8F}"/>
            </a:ext>
          </a:extLst>
        </xdr:cNvPr>
        <xdr:cNvPicPr>
          <a:picLocks noChangeAspect="1"/>
        </xdr:cNvPicPr>
      </xdr:nvPicPr>
      <xdr:blipFill>
        <a:blip xmlns:r="http://schemas.openxmlformats.org/officeDocument/2006/relationships" r:embed="rId1"/>
        <a:stretch>
          <a:fillRect/>
        </a:stretch>
      </xdr:blipFill>
      <xdr:spPr>
        <a:xfrm>
          <a:off x="0" y="0"/>
          <a:ext cx="1578515" cy="14634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295275</xdr:colOff>
      <xdr:row>8</xdr:row>
      <xdr:rowOff>25400</xdr:rowOff>
    </xdr:to>
    <xdr:pic>
      <xdr:nvPicPr>
        <xdr:cNvPr id="2" name="Picture 1">
          <a:extLst>
            <a:ext uri="{FF2B5EF4-FFF2-40B4-BE49-F238E27FC236}">
              <a16:creationId xmlns:a16="http://schemas.microsoft.com/office/drawing/2014/main" id="{298DBA54-39CE-43E5-8421-23AD75D4554D}"/>
            </a:ext>
          </a:extLst>
        </xdr:cNvPr>
        <xdr:cNvPicPr>
          <a:picLocks noChangeAspect="1"/>
        </xdr:cNvPicPr>
      </xdr:nvPicPr>
      <xdr:blipFill>
        <a:blip xmlns:r="http://schemas.openxmlformats.org/officeDocument/2006/relationships" r:embed="rId1"/>
        <a:stretch>
          <a:fillRect/>
        </a:stretch>
      </xdr:blipFill>
      <xdr:spPr>
        <a:xfrm>
          <a:off x="0" y="0"/>
          <a:ext cx="1527175" cy="1473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263899</xdr:colOff>
      <xdr:row>8</xdr:row>
      <xdr:rowOff>45720</xdr:rowOff>
    </xdr:to>
    <xdr:pic>
      <xdr:nvPicPr>
        <xdr:cNvPr id="2" name="Picture 1">
          <a:extLst>
            <a:ext uri="{FF2B5EF4-FFF2-40B4-BE49-F238E27FC236}">
              <a16:creationId xmlns:a16="http://schemas.microsoft.com/office/drawing/2014/main" id="{D79EF8C1-E47C-4EA2-AD6B-DA11373219F6}"/>
            </a:ext>
          </a:extLst>
        </xdr:cNvPr>
        <xdr:cNvPicPr>
          <a:picLocks noChangeAspect="1"/>
        </xdr:cNvPicPr>
      </xdr:nvPicPr>
      <xdr:blipFill>
        <a:blip xmlns:r="http://schemas.openxmlformats.org/officeDocument/2006/relationships" r:embed="rId1"/>
        <a:stretch>
          <a:fillRect/>
        </a:stretch>
      </xdr:blipFill>
      <xdr:spPr>
        <a:xfrm>
          <a:off x="0" y="0"/>
          <a:ext cx="1483099" cy="1514475"/>
        </a:xfrm>
        <a:prstGeom prst="rect">
          <a:avLst/>
        </a:prstGeom>
      </xdr:spPr>
    </xdr:pic>
    <xdr:clientData/>
  </xdr:twoCellAnchor>
  <xdr:twoCellAnchor editAs="oneCell">
    <xdr:from>
      <xdr:col>0</xdr:col>
      <xdr:colOff>0</xdr:colOff>
      <xdr:row>0</xdr:row>
      <xdr:rowOff>0</xdr:rowOff>
    </xdr:from>
    <xdr:to>
      <xdr:col>2</xdr:col>
      <xdr:colOff>339725</xdr:colOff>
      <xdr:row>8</xdr:row>
      <xdr:rowOff>0</xdr:rowOff>
    </xdr:to>
    <xdr:pic>
      <xdr:nvPicPr>
        <xdr:cNvPr id="3" name="Picture 2">
          <a:extLst>
            <a:ext uri="{FF2B5EF4-FFF2-40B4-BE49-F238E27FC236}">
              <a16:creationId xmlns:a16="http://schemas.microsoft.com/office/drawing/2014/main" id="{AB9EE7E8-218C-4A15-9CC2-60BD25884E9D}"/>
            </a:ext>
          </a:extLst>
        </xdr:cNvPr>
        <xdr:cNvPicPr>
          <a:picLocks noChangeAspect="1"/>
        </xdr:cNvPicPr>
      </xdr:nvPicPr>
      <xdr:blipFill>
        <a:blip xmlns:r="http://schemas.openxmlformats.org/officeDocument/2006/relationships" r:embed="rId1"/>
        <a:stretch>
          <a:fillRect/>
        </a:stretch>
      </xdr:blipFill>
      <xdr:spPr>
        <a:xfrm>
          <a:off x="0" y="0"/>
          <a:ext cx="1552575" cy="1514475"/>
        </a:xfrm>
        <a:prstGeom prst="rect">
          <a:avLst/>
        </a:prstGeom>
      </xdr:spPr>
    </xdr:pic>
    <xdr:clientData/>
  </xdr:twoCellAnchor>
  <xdr:twoCellAnchor editAs="oneCell">
    <xdr:from>
      <xdr:col>0</xdr:col>
      <xdr:colOff>0</xdr:colOff>
      <xdr:row>0</xdr:row>
      <xdr:rowOff>0</xdr:rowOff>
    </xdr:from>
    <xdr:to>
      <xdr:col>2</xdr:col>
      <xdr:colOff>301999</xdr:colOff>
      <xdr:row>8</xdr:row>
      <xdr:rowOff>45720</xdr:rowOff>
    </xdr:to>
    <xdr:pic>
      <xdr:nvPicPr>
        <xdr:cNvPr id="4" name="Picture 3">
          <a:extLst>
            <a:ext uri="{FF2B5EF4-FFF2-40B4-BE49-F238E27FC236}">
              <a16:creationId xmlns:a16="http://schemas.microsoft.com/office/drawing/2014/main" id="{357DF157-1772-4FF2-9404-0DE37D333517}"/>
            </a:ext>
          </a:extLst>
        </xdr:cNvPr>
        <xdr:cNvPicPr>
          <a:picLocks noChangeAspect="1"/>
        </xdr:cNvPicPr>
      </xdr:nvPicPr>
      <xdr:blipFill>
        <a:blip xmlns:r="http://schemas.openxmlformats.org/officeDocument/2006/relationships" r:embed="rId1"/>
        <a:stretch>
          <a:fillRect/>
        </a:stretch>
      </xdr:blipFill>
      <xdr:spPr>
        <a:xfrm>
          <a:off x="0" y="0"/>
          <a:ext cx="1521199" cy="15652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294439</xdr:colOff>
      <xdr:row>8</xdr:row>
      <xdr:rowOff>0</xdr:rowOff>
    </xdr:to>
    <xdr:pic>
      <xdr:nvPicPr>
        <xdr:cNvPr id="3" name="Picture 2">
          <a:extLst>
            <a:ext uri="{FF2B5EF4-FFF2-40B4-BE49-F238E27FC236}">
              <a16:creationId xmlns:a16="http://schemas.microsoft.com/office/drawing/2014/main" id="{E68C6691-9072-40BB-90B2-E8E2E8FFE19A}"/>
            </a:ext>
          </a:extLst>
        </xdr:cNvPr>
        <xdr:cNvPicPr>
          <a:picLocks noChangeAspect="1"/>
        </xdr:cNvPicPr>
      </xdr:nvPicPr>
      <xdr:blipFill>
        <a:blip xmlns:r="http://schemas.openxmlformats.org/officeDocument/2006/relationships" r:embed="rId1"/>
        <a:stretch>
          <a:fillRect/>
        </a:stretch>
      </xdr:blipFill>
      <xdr:spPr>
        <a:xfrm>
          <a:off x="0" y="0"/>
          <a:ext cx="1514475" cy="1514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273050</xdr:colOff>
      <xdr:row>8</xdr:row>
      <xdr:rowOff>0</xdr:rowOff>
    </xdr:to>
    <xdr:pic>
      <xdr:nvPicPr>
        <xdr:cNvPr id="3" name="Picture 2">
          <a:extLst>
            <a:ext uri="{FF2B5EF4-FFF2-40B4-BE49-F238E27FC236}">
              <a16:creationId xmlns:a16="http://schemas.microsoft.com/office/drawing/2014/main" id="{3EB853E0-7016-4352-A573-D7F42A3DDB5B}"/>
            </a:ext>
          </a:extLst>
        </xdr:cNvPr>
        <xdr:cNvPicPr>
          <a:picLocks noChangeAspect="1"/>
        </xdr:cNvPicPr>
      </xdr:nvPicPr>
      <xdr:blipFill>
        <a:blip xmlns:r="http://schemas.openxmlformats.org/officeDocument/2006/relationships" r:embed="rId1"/>
        <a:stretch>
          <a:fillRect/>
        </a:stretch>
      </xdr:blipFill>
      <xdr:spPr>
        <a:xfrm>
          <a:off x="0" y="0"/>
          <a:ext cx="1514475" cy="1514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330200</xdr:colOff>
      <xdr:row>8</xdr:row>
      <xdr:rowOff>0</xdr:rowOff>
    </xdr:to>
    <xdr:pic>
      <xdr:nvPicPr>
        <xdr:cNvPr id="2" name="Picture 1">
          <a:extLst>
            <a:ext uri="{FF2B5EF4-FFF2-40B4-BE49-F238E27FC236}">
              <a16:creationId xmlns:a16="http://schemas.microsoft.com/office/drawing/2014/main" id="{782AFCFB-7F47-4562-8F71-8DEF8B8007D2}"/>
            </a:ext>
          </a:extLst>
        </xdr:cNvPr>
        <xdr:cNvPicPr>
          <a:picLocks noChangeAspect="1"/>
        </xdr:cNvPicPr>
      </xdr:nvPicPr>
      <xdr:blipFill>
        <a:blip xmlns:r="http://schemas.openxmlformats.org/officeDocument/2006/relationships" r:embed="rId1"/>
        <a:stretch>
          <a:fillRect/>
        </a:stretch>
      </xdr:blipFill>
      <xdr:spPr>
        <a:xfrm>
          <a:off x="0" y="0"/>
          <a:ext cx="1568450" cy="1447800"/>
        </a:xfrm>
        <a:prstGeom prst="rect">
          <a:avLst/>
        </a:prstGeom>
      </xdr:spPr>
    </xdr:pic>
    <xdr:clientData/>
  </xdr:twoCellAnchor>
  <xdr:twoCellAnchor editAs="oneCell">
    <xdr:from>
      <xdr:col>0</xdr:col>
      <xdr:colOff>0</xdr:colOff>
      <xdr:row>0</xdr:row>
      <xdr:rowOff>0</xdr:rowOff>
    </xdr:from>
    <xdr:to>
      <xdr:col>2</xdr:col>
      <xdr:colOff>330200</xdr:colOff>
      <xdr:row>8</xdr:row>
      <xdr:rowOff>0</xdr:rowOff>
    </xdr:to>
    <xdr:pic>
      <xdr:nvPicPr>
        <xdr:cNvPr id="3" name="Picture 2">
          <a:extLst>
            <a:ext uri="{FF2B5EF4-FFF2-40B4-BE49-F238E27FC236}">
              <a16:creationId xmlns:a16="http://schemas.microsoft.com/office/drawing/2014/main" id="{4604BA86-9544-4C2F-B22D-F68C246C6D7E}"/>
            </a:ext>
          </a:extLst>
        </xdr:cNvPr>
        <xdr:cNvPicPr>
          <a:picLocks noChangeAspect="1"/>
        </xdr:cNvPicPr>
      </xdr:nvPicPr>
      <xdr:blipFill>
        <a:blip xmlns:r="http://schemas.openxmlformats.org/officeDocument/2006/relationships" r:embed="rId1"/>
        <a:stretch>
          <a:fillRect/>
        </a:stretch>
      </xdr:blipFill>
      <xdr:spPr>
        <a:xfrm>
          <a:off x="0" y="0"/>
          <a:ext cx="1568450" cy="1447800"/>
        </a:xfrm>
        <a:prstGeom prst="rect">
          <a:avLst/>
        </a:prstGeom>
      </xdr:spPr>
    </xdr:pic>
    <xdr:clientData/>
  </xdr:twoCellAnchor>
  <xdr:twoCellAnchor editAs="oneCell">
    <xdr:from>
      <xdr:col>0</xdr:col>
      <xdr:colOff>0</xdr:colOff>
      <xdr:row>0</xdr:row>
      <xdr:rowOff>0</xdr:rowOff>
    </xdr:from>
    <xdr:to>
      <xdr:col>2</xdr:col>
      <xdr:colOff>330200</xdr:colOff>
      <xdr:row>8</xdr:row>
      <xdr:rowOff>0</xdr:rowOff>
    </xdr:to>
    <xdr:pic>
      <xdr:nvPicPr>
        <xdr:cNvPr id="4" name="Picture 3">
          <a:extLst>
            <a:ext uri="{FF2B5EF4-FFF2-40B4-BE49-F238E27FC236}">
              <a16:creationId xmlns:a16="http://schemas.microsoft.com/office/drawing/2014/main" id="{E72DDB9D-4CC2-4E6F-8744-B11F61DC49DC}"/>
            </a:ext>
          </a:extLst>
        </xdr:cNvPr>
        <xdr:cNvPicPr>
          <a:picLocks noChangeAspect="1"/>
        </xdr:cNvPicPr>
      </xdr:nvPicPr>
      <xdr:blipFill>
        <a:blip xmlns:r="http://schemas.openxmlformats.org/officeDocument/2006/relationships" r:embed="rId1"/>
        <a:stretch>
          <a:fillRect/>
        </a:stretch>
      </xdr:blipFill>
      <xdr:spPr>
        <a:xfrm>
          <a:off x="0" y="0"/>
          <a:ext cx="1568450" cy="1447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273050</xdr:colOff>
      <xdr:row>8</xdr:row>
      <xdr:rowOff>0</xdr:rowOff>
    </xdr:to>
    <xdr:pic>
      <xdr:nvPicPr>
        <xdr:cNvPr id="2" name="Picture 1">
          <a:extLst>
            <a:ext uri="{FF2B5EF4-FFF2-40B4-BE49-F238E27FC236}">
              <a16:creationId xmlns:a16="http://schemas.microsoft.com/office/drawing/2014/main" id="{BBB7EB18-8738-4CA0-822D-C0D2997024A0}"/>
            </a:ext>
          </a:extLst>
        </xdr:cNvPr>
        <xdr:cNvPicPr>
          <a:picLocks noChangeAspect="1"/>
        </xdr:cNvPicPr>
      </xdr:nvPicPr>
      <xdr:blipFill>
        <a:blip xmlns:r="http://schemas.openxmlformats.org/officeDocument/2006/relationships" r:embed="rId1"/>
        <a:stretch>
          <a:fillRect/>
        </a:stretch>
      </xdr:blipFill>
      <xdr:spPr>
        <a:xfrm>
          <a:off x="0" y="0"/>
          <a:ext cx="1568450" cy="1447800"/>
        </a:xfrm>
        <a:prstGeom prst="rect">
          <a:avLst/>
        </a:prstGeom>
      </xdr:spPr>
    </xdr:pic>
    <xdr:clientData/>
  </xdr:twoCellAnchor>
  <xdr:twoCellAnchor editAs="oneCell">
    <xdr:from>
      <xdr:col>0</xdr:col>
      <xdr:colOff>0</xdr:colOff>
      <xdr:row>0</xdr:row>
      <xdr:rowOff>0</xdr:rowOff>
    </xdr:from>
    <xdr:to>
      <xdr:col>2</xdr:col>
      <xdr:colOff>273050</xdr:colOff>
      <xdr:row>8</xdr:row>
      <xdr:rowOff>0</xdr:rowOff>
    </xdr:to>
    <xdr:pic>
      <xdr:nvPicPr>
        <xdr:cNvPr id="3" name="Picture 2">
          <a:extLst>
            <a:ext uri="{FF2B5EF4-FFF2-40B4-BE49-F238E27FC236}">
              <a16:creationId xmlns:a16="http://schemas.microsoft.com/office/drawing/2014/main" id="{2C48CFCF-832C-4CF3-BC04-6A40A60AF2FD}"/>
            </a:ext>
          </a:extLst>
        </xdr:cNvPr>
        <xdr:cNvPicPr>
          <a:picLocks noChangeAspect="1"/>
        </xdr:cNvPicPr>
      </xdr:nvPicPr>
      <xdr:blipFill>
        <a:blip xmlns:r="http://schemas.openxmlformats.org/officeDocument/2006/relationships" r:embed="rId1"/>
        <a:stretch>
          <a:fillRect/>
        </a:stretch>
      </xdr:blipFill>
      <xdr:spPr>
        <a:xfrm>
          <a:off x="0" y="0"/>
          <a:ext cx="1568450" cy="1447800"/>
        </a:xfrm>
        <a:prstGeom prst="rect">
          <a:avLst/>
        </a:prstGeom>
      </xdr:spPr>
    </xdr:pic>
    <xdr:clientData/>
  </xdr:twoCellAnchor>
  <xdr:twoCellAnchor editAs="oneCell">
    <xdr:from>
      <xdr:col>0</xdr:col>
      <xdr:colOff>0</xdr:colOff>
      <xdr:row>0</xdr:row>
      <xdr:rowOff>0</xdr:rowOff>
    </xdr:from>
    <xdr:to>
      <xdr:col>2</xdr:col>
      <xdr:colOff>273050</xdr:colOff>
      <xdr:row>8</xdr:row>
      <xdr:rowOff>0</xdr:rowOff>
    </xdr:to>
    <xdr:pic>
      <xdr:nvPicPr>
        <xdr:cNvPr id="4" name="Picture 3">
          <a:extLst>
            <a:ext uri="{FF2B5EF4-FFF2-40B4-BE49-F238E27FC236}">
              <a16:creationId xmlns:a16="http://schemas.microsoft.com/office/drawing/2014/main" id="{D6B7E1CC-039B-48EC-A6C6-D971D1300FBE}"/>
            </a:ext>
          </a:extLst>
        </xdr:cNvPr>
        <xdr:cNvPicPr>
          <a:picLocks noChangeAspect="1"/>
        </xdr:cNvPicPr>
      </xdr:nvPicPr>
      <xdr:blipFill>
        <a:blip xmlns:r="http://schemas.openxmlformats.org/officeDocument/2006/relationships" r:embed="rId1"/>
        <a:stretch>
          <a:fillRect/>
        </a:stretch>
      </xdr:blipFill>
      <xdr:spPr>
        <a:xfrm>
          <a:off x="0" y="0"/>
          <a:ext cx="1568450" cy="14478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292100</xdr:colOff>
      <xdr:row>8</xdr:row>
      <xdr:rowOff>0</xdr:rowOff>
    </xdr:to>
    <xdr:pic>
      <xdr:nvPicPr>
        <xdr:cNvPr id="3" name="Picture 2">
          <a:extLst>
            <a:ext uri="{FF2B5EF4-FFF2-40B4-BE49-F238E27FC236}">
              <a16:creationId xmlns:a16="http://schemas.microsoft.com/office/drawing/2014/main" id="{CEEE8FD5-B38B-4B88-98F4-DE6CAF5217B2}"/>
            </a:ext>
          </a:extLst>
        </xdr:cNvPr>
        <xdr:cNvPicPr>
          <a:picLocks noChangeAspect="1"/>
        </xdr:cNvPicPr>
      </xdr:nvPicPr>
      <xdr:blipFill>
        <a:blip xmlns:r="http://schemas.openxmlformats.org/officeDocument/2006/relationships" r:embed="rId1"/>
        <a:stretch>
          <a:fillRect/>
        </a:stretch>
      </xdr:blipFill>
      <xdr:spPr>
        <a:xfrm>
          <a:off x="0" y="0"/>
          <a:ext cx="1514475" cy="1514475"/>
        </a:xfrm>
        <a:prstGeom prst="rect">
          <a:avLst/>
        </a:prstGeom>
      </xdr:spPr>
    </xdr:pic>
    <xdr:clientData/>
  </xdr:twoCellAnchor>
  <xdr:twoCellAnchor editAs="oneCell">
    <xdr:from>
      <xdr:col>0</xdr:col>
      <xdr:colOff>0</xdr:colOff>
      <xdr:row>0</xdr:row>
      <xdr:rowOff>0</xdr:rowOff>
    </xdr:from>
    <xdr:to>
      <xdr:col>2</xdr:col>
      <xdr:colOff>292100</xdr:colOff>
      <xdr:row>8</xdr:row>
      <xdr:rowOff>502</xdr:rowOff>
    </xdr:to>
    <xdr:pic>
      <xdr:nvPicPr>
        <xdr:cNvPr id="4" name="Picture 3">
          <a:extLst>
            <a:ext uri="{FF2B5EF4-FFF2-40B4-BE49-F238E27FC236}">
              <a16:creationId xmlns:a16="http://schemas.microsoft.com/office/drawing/2014/main" id="{2585C722-A813-4B96-9DB8-FF3A9C2193F9}"/>
            </a:ext>
          </a:extLst>
        </xdr:cNvPr>
        <xdr:cNvPicPr>
          <a:picLocks noChangeAspect="1"/>
        </xdr:cNvPicPr>
      </xdr:nvPicPr>
      <xdr:blipFill>
        <a:blip xmlns:r="http://schemas.openxmlformats.org/officeDocument/2006/relationships" r:embed="rId1"/>
        <a:stretch>
          <a:fillRect/>
        </a:stretch>
      </xdr:blipFill>
      <xdr:spPr>
        <a:xfrm>
          <a:off x="0" y="0"/>
          <a:ext cx="1476375" cy="152450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5.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6.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7.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9CAF-EAF6-446D-B3B1-96EE476503ED}">
  <dimension ref="A1:S36"/>
  <sheetViews>
    <sheetView workbookViewId="0">
      <selection activeCell="O18" sqref="O18"/>
    </sheetView>
  </sheetViews>
  <sheetFormatPr defaultColWidth="8.7265625" defaultRowHeight="14.5"/>
  <cols>
    <col min="1" max="14" width="7.26953125" style="13" customWidth="1"/>
    <col min="15" max="15" width="26.453125" style="13" bestFit="1" customWidth="1"/>
    <col min="16" max="16384" width="8.7265625" style="13"/>
  </cols>
  <sheetData>
    <row r="1" spans="1:19">
      <c r="A1"/>
    </row>
    <row r="2" spans="1:19">
      <c r="A2"/>
    </row>
    <row r="4" spans="1:19">
      <c r="A4"/>
    </row>
    <row r="5" spans="1:19">
      <c r="O5" s="18" t="s">
        <v>0</v>
      </c>
    </row>
    <row r="6" spans="1:19">
      <c r="O6" s="31" t="s">
        <v>1</v>
      </c>
    </row>
    <row r="7" spans="1:19">
      <c r="O7" s="31" t="s">
        <v>2</v>
      </c>
    </row>
    <row r="8" spans="1:19">
      <c r="O8" s="31" t="s">
        <v>3</v>
      </c>
    </row>
    <row r="9" spans="1:19">
      <c r="O9" s="31" t="s">
        <v>4</v>
      </c>
      <c r="S9"/>
    </row>
    <row r="10" spans="1:19">
      <c r="C10"/>
      <c r="O10" s="31" t="s">
        <v>5</v>
      </c>
    </row>
    <row r="11" spans="1:19">
      <c r="O11" s="31" t="s">
        <v>6</v>
      </c>
    </row>
    <row r="12" spans="1:19">
      <c r="O12" s="31" t="s">
        <v>7</v>
      </c>
    </row>
    <row r="13" spans="1:19">
      <c r="O13" s="31" t="s">
        <v>8</v>
      </c>
    </row>
    <row r="14" spans="1:19">
      <c r="O14" s="31" t="s">
        <v>9</v>
      </c>
    </row>
    <row r="15" spans="1:19">
      <c r="O15" s="31" t="s">
        <v>10</v>
      </c>
    </row>
    <row r="16" spans="1:19">
      <c r="O16" s="31" t="s">
        <v>11</v>
      </c>
    </row>
    <row r="17" spans="7:15">
      <c r="O17" s="31" t="s">
        <v>12</v>
      </c>
    </row>
    <row r="18" spans="7:15">
      <c r="O18" s="31"/>
    </row>
    <row r="19" spans="7:15">
      <c r="O19" s="31"/>
    </row>
    <row r="29" spans="7:15">
      <c r="G29"/>
    </row>
    <row r="31" spans="7:15" ht="17.899999999999999" customHeight="1"/>
    <row r="36" spans="12:12">
      <c r="L36"/>
    </row>
  </sheetData>
  <hyperlinks>
    <hyperlink ref="O6" location="'General Definitions'!A1" display="General Definitions" xr:uid="{37832533-FD2F-485E-B21C-27FCA87261E1}"/>
    <hyperlink ref="O7" location="'Key Figures Yearly'!A1" display="Key Figures Yearly" xr:uid="{31F68893-D2BB-4B40-8570-C8DD5995D445}"/>
    <hyperlink ref="O8" location="'Key Figures Quarterly'!A1" display="Key Figures Quarterly" xr:uid="{B0F41ADA-0B8F-4CD5-9DCF-3C1F2C5440C0}"/>
    <hyperlink ref="O10" location="'Volume Quarterly'!A1" display="Volume Quarterly" xr:uid="{0DE4BA26-3203-485E-BD2C-F6CDE9AAD9B6}"/>
    <hyperlink ref="O13" location="'Income Statement'!A1" display="Income Statement" xr:uid="{A8D8AF96-451C-42C9-A1E6-858089DE5196}"/>
    <hyperlink ref="O14" location="'Revenue Geographical'!A1" display="Revenue Geographical" xr:uid="{71DB46CE-E5AD-4BF2-9771-C49DDC3BF241}"/>
    <hyperlink ref="O15" location="'BS - Assets'!A1" display="BS - Asserts" xr:uid="{BDCC72BD-2B87-41E5-9C24-A71FB8772B1F}"/>
    <hyperlink ref="O16" location="'BS - Equity &amp; Liabilities'!A1" display="BS - Equity &amp; Liabilities" xr:uid="{2535EE51-947F-4991-8148-5F200DF9F8AA}"/>
    <hyperlink ref="O17" location="'Cash Flow'!A1" display="Cash flow" xr:uid="{BEFD1C60-C49E-4FB3-ABA0-C3D66D5D8701}"/>
    <hyperlink ref="O11" location="'Volume Monthly'!A1" display="Volume Monthly" xr:uid="{608E8874-9663-4A54-9B4B-C0C7640BC927}"/>
    <hyperlink ref="O12" location="'Revenue and EBIT walk'!A1" display="Revenue and EBIT walk" xr:uid="{AD8EE309-D90E-45DD-9E20-4D0006298A19}"/>
    <hyperlink ref="O9" location="'Calc Key Figures'!A1" display="Calc Key Figures" xr:uid="{C932E7D4-EE11-4646-91D7-25F52D9A19D8}"/>
  </hyperlinks>
  <pageMargins left="0.7" right="0.7" top="0.75" bottom="0.75" header="0.3" footer="0.3"/>
  <pageSetup paperSize="9"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E81F-7241-4B7E-AC59-5A7495D0E4EA}">
  <dimension ref="A1:H39"/>
  <sheetViews>
    <sheetView showGridLines="0" workbookViewId="0">
      <pane xSplit="1" ySplit="10" topLeftCell="B33" activePane="bottomRight" state="frozen"/>
      <selection pane="topRight" activeCell="D1" sqref="D1"/>
      <selection pane="bottomLeft" activeCell="D1" sqref="D1"/>
      <selection pane="bottomRight" activeCell="B35" sqref="B35"/>
    </sheetView>
  </sheetViews>
  <sheetFormatPr defaultColWidth="8.81640625" defaultRowHeight="14.5"/>
  <cols>
    <col min="1" max="1" width="23.7265625" customWidth="1"/>
    <col min="2" max="2" width="97.453125" customWidth="1"/>
  </cols>
  <sheetData>
    <row r="1" spans="1:8">
      <c r="A1" s="34" t="s">
        <v>1</v>
      </c>
      <c r="B1" s="35"/>
      <c r="C1" s="35"/>
      <c r="D1" s="35"/>
      <c r="E1" s="35"/>
      <c r="F1" s="35"/>
      <c r="G1" s="35"/>
      <c r="H1" s="35"/>
    </row>
    <row r="2" spans="1:8">
      <c r="A2" s="35"/>
      <c r="B2" s="35"/>
      <c r="C2" s="35"/>
      <c r="D2" s="35"/>
      <c r="E2" s="35"/>
      <c r="F2" s="35"/>
      <c r="G2" s="35"/>
      <c r="H2" s="35"/>
    </row>
    <row r="3" spans="1:8">
      <c r="A3" s="35"/>
      <c r="B3" s="35"/>
      <c r="C3" s="35"/>
      <c r="D3" s="35"/>
      <c r="E3" s="35"/>
      <c r="F3" s="35"/>
      <c r="G3" s="35"/>
      <c r="H3" s="35"/>
    </row>
    <row r="4" spans="1:8">
      <c r="A4" s="35"/>
      <c r="B4" s="35"/>
      <c r="C4" s="35"/>
      <c r="D4" s="35"/>
      <c r="E4" s="35"/>
      <c r="F4" s="35"/>
      <c r="G4" s="35"/>
      <c r="H4" s="35"/>
    </row>
    <row r="5" spans="1:8">
      <c r="A5" s="35"/>
      <c r="B5" s="35"/>
      <c r="C5" s="35"/>
      <c r="D5" s="35"/>
      <c r="E5" s="35"/>
      <c r="F5" s="35"/>
      <c r="G5" s="35"/>
      <c r="H5" s="35"/>
    </row>
    <row r="6" spans="1:8">
      <c r="A6" s="35"/>
      <c r="B6" s="35"/>
      <c r="C6" s="35"/>
      <c r="D6" s="35"/>
      <c r="E6" s="35"/>
      <c r="F6" s="35"/>
      <c r="G6" s="35"/>
      <c r="H6" s="35"/>
    </row>
    <row r="7" spans="1:8">
      <c r="A7" s="35"/>
      <c r="B7" s="35"/>
      <c r="C7" s="35"/>
      <c r="D7" s="35"/>
      <c r="E7" s="35"/>
      <c r="F7" s="35"/>
      <c r="G7" s="35"/>
      <c r="H7" s="35"/>
    </row>
    <row r="8" spans="1:8">
      <c r="A8" s="36" t="s">
        <v>13</v>
      </c>
      <c r="B8" s="36" t="s">
        <v>13</v>
      </c>
      <c r="C8" s="36" t="s">
        <v>13</v>
      </c>
      <c r="D8" s="35"/>
      <c r="E8" s="35"/>
      <c r="F8" s="35"/>
      <c r="G8" s="35"/>
      <c r="H8" s="35"/>
    </row>
    <row r="9" spans="1:8" s="17" customFormat="1" ht="21.65" customHeight="1">
      <c r="A9" s="36" t="s">
        <v>13</v>
      </c>
      <c r="B9" s="36" t="s">
        <v>13</v>
      </c>
      <c r="C9" s="36" t="s">
        <v>13</v>
      </c>
      <c r="D9" s="35"/>
      <c r="E9" s="35"/>
      <c r="F9" s="35"/>
      <c r="G9" s="35"/>
      <c r="H9" s="35"/>
    </row>
    <row r="10" spans="1:8" s="11" customFormat="1">
      <c r="A10" s="37" t="s">
        <v>14</v>
      </c>
      <c r="B10" s="38" t="s">
        <v>15</v>
      </c>
      <c r="C10" s="39" t="s">
        <v>13</v>
      </c>
      <c r="D10" s="39" t="s">
        <v>13</v>
      </c>
      <c r="E10" s="39" t="s">
        <v>13</v>
      </c>
      <c r="F10" s="39" t="s">
        <v>13</v>
      </c>
      <c r="G10" s="39" t="s">
        <v>13</v>
      </c>
      <c r="H10" s="39" t="s">
        <v>13</v>
      </c>
    </row>
    <row r="11" spans="1:8" s="11" customFormat="1" ht="145">
      <c r="A11" s="228" t="s">
        <v>16</v>
      </c>
      <c r="B11" s="231" t="s">
        <v>17</v>
      </c>
      <c r="C11" s="36" t="s">
        <v>13</v>
      </c>
      <c r="D11" s="36" t="s">
        <v>13</v>
      </c>
      <c r="E11" s="36" t="s">
        <v>13</v>
      </c>
      <c r="F11" s="36" t="s">
        <v>13</v>
      </c>
      <c r="G11" s="36" t="s">
        <v>13</v>
      </c>
      <c r="H11" s="36" t="s">
        <v>13</v>
      </c>
    </row>
    <row r="12" spans="1:8" s="11" customFormat="1" ht="29">
      <c r="A12" s="228" t="s">
        <v>18</v>
      </c>
      <c r="B12" s="231" t="s">
        <v>19</v>
      </c>
      <c r="C12" s="36" t="s">
        <v>13</v>
      </c>
      <c r="D12" s="36" t="s">
        <v>13</v>
      </c>
      <c r="E12" s="36" t="s">
        <v>13</v>
      </c>
      <c r="F12" s="36" t="s">
        <v>13</v>
      </c>
      <c r="G12" s="36" t="s">
        <v>13</v>
      </c>
      <c r="H12" s="36" t="s">
        <v>13</v>
      </c>
    </row>
    <row r="13" spans="1:8" s="11" customFormat="1" ht="41.5" customHeight="1">
      <c r="A13" s="228" t="s">
        <v>20</v>
      </c>
      <c r="B13" s="231" t="s">
        <v>21</v>
      </c>
      <c r="C13" s="36" t="s">
        <v>13</v>
      </c>
      <c r="D13" s="36" t="s">
        <v>13</v>
      </c>
      <c r="E13" s="36" t="s">
        <v>13</v>
      </c>
      <c r="F13" s="36" t="s">
        <v>13</v>
      </c>
      <c r="G13" s="36" t="s">
        <v>13</v>
      </c>
      <c r="H13" s="36" t="s">
        <v>13</v>
      </c>
    </row>
    <row r="14" spans="1:8" s="11" customFormat="1" ht="29">
      <c r="A14" s="228" t="s">
        <v>22</v>
      </c>
      <c r="B14" s="231" t="s">
        <v>23</v>
      </c>
      <c r="C14" s="36" t="s">
        <v>13</v>
      </c>
      <c r="D14" s="36" t="s">
        <v>13</v>
      </c>
      <c r="E14" s="36" t="s">
        <v>13</v>
      </c>
      <c r="F14" s="36" t="s">
        <v>13</v>
      </c>
      <c r="G14" s="36" t="s">
        <v>13</v>
      </c>
      <c r="H14" s="36" t="s">
        <v>13</v>
      </c>
    </row>
    <row r="15" spans="1:8" s="11" customFormat="1">
      <c r="A15" s="228" t="s">
        <v>24</v>
      </c>
      <c r="B15" s="231" t="s">
        <v>25</v>
      </c>
      <c r="C15" s="36" t="s">
        <v>13</v>
      </c>
      <c r="D15" s="36" t="s">
        <v>13</v>
      </c>
      <c r="E15" s="36" t="s">
        <v>13</v>
      </c>
      <c r="F15" s="36" t="s">
        <v>13</v>
      </c>
      <c r="G15" s="36" t="s">
        <v>13</v>
      </c>
      <c r="H15" s="36" t="s">
        <v>13</v>
      </c>
    </row>
    <row r="16" spans="1:8" s="11" customFormat="1" ht="39.75" customHeight="1">
      <c r="A16" s="228" t="s">
        <v>26</v>
      </c>
      <c r="B16" s="231" t="s">
        <v>27</v>
      </c>
      <c r="C16" s="36" t="s">
        <v>13</v>
      </c>
      <c r="D16" s="36" t="s">
        <v>13</v>
      </c>
      <c r="E16" s="36" t="s">
        <v>13</v>
      </c>
      <c r="F16" s="36" t="s">
        <v>13</v>
      </c>
      <c r="G16" s="36" t="s">
        <v>13</v>
      </c>
      <c r="H16" s="36" t="s">
        <v>13</v>
      </c>
    </row>
    <row r="17" spans="1:8" s="11" customFormat="1" ht="39.75" customHeight="1">
      <c r="A17" s="228" t="s">
        <v>28</v>
      </c>
      <c r="B17" s="231" t="s">
        <v>29</v>
      </c>
      <c r="C17" s="36"/>
      <c r="D17" s="36"/>
      <c r="E17" s="36"/>
      <c r="F17" s="36"/>
      <c r="G17" s="36"/>
      <c r="H17" s="36"/>
    </row>
    <row r="18" spans="1:8" s="11" customFormat="1" ht="39.75" customHeight="1">
      <c r="A18" s="229" t="s">
        <v>30</v>
      </c>
      <c r="B18" s="231" t="s">
        <v>31</v>
      </c>
      <c r="C18" s="36"/>
      <c r="D18" s="36"/>
      <c r="E18" s="36"/>
      <c r="F18" s="36"/>
      <c r="G18" s="36"/>
      <c r="H18" s="36"/>
    </row>
    <row r="19" spans="1:8" s="11" customFormat="1" ht="39.75" customHeight="1">
      <c r="A19" s="228" t="s">
        <v>32</v>
      </c>
      <c r="B19" s="231" t="s">
        <v>33</v>
      </c>
      <c r="C19" s="36"/>
      <c r="D19" s="36"/>
      <c r="E19" s="36"/>
      <c r="F19" s="36"/>
      <c r="G19" s="36"/>
      <c r="H19" s="36"/>
    </row>
    <row r="20" spans="1:8" s="11" customFormat="1" ht="39.75" customHeight="1">
      <c r="A20" s="228" t="s">
        <v>34</v>
      </c>
      <c r="B20" s="231" t="s">
        <v>35</v>
      </c>
      <c r="C20" s="36"/>
      <c r="D20" s="36"/>
      <c r="E20" s="36"/>
      <c r="F20" s="36"/>
      <c r="G20" s="36"/>
      <c r="H20" s="36"/>
    </row>
    <row r="21" spans="1:8" s="11" customFormat="1" ht="39.75" customHeight="1">
      <c r="A21" s="228" t="s">
        <v>36</v>
      </c>
      <c r="B21" s="231" t="s">
        <v>37</v>
      </c>
      <c r="C21" s="36"/>
      <c r="D21" s="36"/>
      <c r="E21" s="36"/>
      <c r="F21" s="36"/>
      <c r="G21" s="36"/>
      <c r="H21" s="36"/>
    </row>
    <row r="22" spans="1:8" s="11" customFormat="1" ht="29">
      <c r="A22" s="229" t="s">
        <v>38</v>
      </c>
      <c r="B22" s="232" t="s">
        <v>39</v>
      </c>
      <c r="C22" s="36"/>
      <c r="D22" s="36"/>
      <c r="E22" s="36"/>
      <c r="F22" s="36"/>
      <c r="G22" s="36"/>
      <c r="H22" s="36"/>
    </row>
    <row r="23" spans="1:8" s="11" customFormat="1" ht="43.5">
      <c r="A23" s="229" t="s">
        <v>40</v>
      </c>
      <c r="B23" s="232" t="s">
        <v>41</v>
      </c>
      <c r="C23" s="36"/>
      <c r="D23" s="36"/>
      <c r="E23" s="36"/>
      <c r="F23" s="36"/>
      <c r="G23" s="36"/>
      <c r="H23" s="36"/>
    </row>
    <row r="24" spans="1:8" s="11" customFormat="1" ht="29">
      <c r="A24" s="229" t="s">
        <v>42</v>
      </c>
      <c r="B24" s="232" t="s">
        <v>43</v>
      </c>
      <c r="C24" s="36"/>
      <c r="D24" s="36"/>
      <c r="E24" s="36"/>
      <c r="F24" s="36"/>
      <c r="G24" s="36"/>
      <c r="H24" s="36"/>
    </row>
    <row r="25" spans="1:8" s="11" customFormat="1" ht="29">
      <c r="A25" s="229" t="s">
        <v>44</v>
      </c>
      <c r="B25" s="232" t="s">
        <v>45</v>
      </c>
      <c r="C25" s="36"/>
      <c r="D25" s="36"/>
      <c r="E25" s="36"/>
      <c r="F25" s="36"/>
      <c r="G25" s="36"/>
      <c r="H25" s="36"/>
    </row>
    <row r="26" spans="1:8" s="11" customFormat="1" ht="43.5">
      <c r="A26" s="229" t="s">
        <v>46</v>
      </c>
      <c r="B26" s="232" t="s">
        <v>47</v>
      </c>
      <c r="C26" s="36"/>
      <c r="D26" s="36"/>
      <c r="E26" s="36"/>
      <c r="F26" s="36"/>
      <c r="G26" s="36"/>
      <c r="H26" s="36"/>
    </row>
    <row r="27" spans="1:8" s="11" customFormat="1" ht="43.5">
      <c r="A27" s="228" t="s">
        <v>48</v>
      </c>
      <c r="B27" s="231" t="s">
        <v>49</v>
      </c>
      <c r="C27" s="36" t="s">
        <v>13</v>
      </c>
      <c r="D27" s="36" t="s">
        <v>13</v>
      </c>
      <c r="E27" s="36" t="s">
        <v>13</v>
      </c>
      <c r="F27" s="36" t="s">
        <v>13</v>
      </c>
      <c r="G27" s="36" t="s">
        <v>13</v>
      </c>
      <c r="H27" s="36" t="s">
        <v>13</v>
      </c>
    </row>
    <row r="28" spans="1:8" s="11" customFormat="1" ht="29">
      <c r="A28" s="228" t="s">
        <v>50</v>
      </c>
      <c r="B28" s="231" t="s">
        <v>51</v>
      </c>
      <c r="C28" s="36" t="s">
        <v>13</v>
      </c>
      <c r="D28" s="36" t="s">
        <v>13</v>
      </c>
      <c r="E28" s="36" t="s">
        <v>13</v>
      </c>
      <c r="F28" s="36" t="s">
        <v>13</v>
      </c>
      <c r="G28" s="36" t="s">
        <v>13</v>
      </c>
      <c r="H28" s="36" t="s">
        <v>13</v>
      </c>
    </row>
    <row r="29" spans="1:8" s="11" customFormat="1" ht="29">
      <c r="A29" s="228" t="s">
        <v>52</v>
      </c>
      <c r="B29" s="231" t="s">
        <v>53</v>
      </c>
      <c r="C29" s="36" t="s">
        <v>13</v>
      </c>
      <c r="D29" s="36" t="s">
        <v>13</v>
      </c>
      <c r="E29" s="36" t="s">
        <v>13</v>
      </c>
      <c r="F29" s="36" t="s">
        <v>13</v>
      </c>
      <c r="G29" s="36" t="s">
        <v>13</v>
      </c>
      <c r="H29" s="36" t="s">
        <v>13</v>
      </c>
    </row>
    <row r="30" spans="1:8" s="11" customFormat="1" ht="101.5">
      <c r="A30" s="229" t="s">
        <v>54</v>
      </c>
      <c r="B30" s="232" t="s">
        <v>55</v>
      </c>
      <c r="C30" s="36" t="s">
        <v>13</v>
      </c>
      <c r="D30" s="36" t="s">
        <v>13</v>
      </c>
      <c r="E30" s="36" t="s">
        <v>13</v>
      </c>
      <c r="F30" s="36" t="s">
        <v>13</v>
      </c>
      <c r="G30" s="36" t="s">
        <v>13</v>
      </c>
      <c r="H30" s="36" t="s">
        <v>13</v>
      </c>
    </row>
    <row r="31" spans="1:8" ht="29">
      <c r="A31" s="228" t="s">
        <v>56</v>
      </c>
      <c r="B31" s="231" t="s">
        <v>57</v>
      </c>
      <c r="C31" s="36" t="s">
        <v>13</v>
      </c>
      <c r="D31" s="36" t="s">
        <v>13</v>
      </c>
      <c r="E31" s="36" t="s">
        <v>13</v>
      </c>
      <c r="F31" s="36" t="s">
        <v>13</v>
      </c>
      <c r="G31" s="36" t="s">
        <v>13</v>
      </c>
      <c r="H31" s="36" t="s">
        <v>13</v>
      </c>
    </row>
    <row r="32" spans="1:8" ht="29">
      <c r="A32" s="228" t="s">
        <v>58</v>
      </c>
      <c r="B32" s="231" t="s">
        <v>59</v>
      </c>
      <c r="C32" s="36" t="s">
        <v>13</v>
      </c>
      <c r="D32" s="36" t="s">
        <v>13</v>
      </c>
      <c r="E32" s="36" t="s">
        <v>13</v>
      </c>
      <c r="F32" s="36" t="s">
        <v>13</v>
      </c>
      <c r="G32" s="36" t="s">
        <v>13</v>
      </c>
      <c r="H32" s="36" t="s">
        <v>13</v>
      </c>
    </row>
    <row r="33" spans="1:8" ht="101.5">
      <c r="A33" s="228" t="s">
        <v>60</v>
      </c>
      <c r="B33" s="231" t="s">
        <v>61</v>
      </c>
      <c r="C33" s="36" t="s">
        <v>13</v>
      </c>
      <c r="D33" s="36" t="s">
        <v>13</v>
      </c>
      <c r="E33" s="36" t="s">
        <v>13</v>
      </c>
      <c r="F33" s="36" t="s">
        <v>13</v>
      </c>
      <c r="G33" s="36" t="s">
        <v>13</v>
      </c>
      <c r="H33" s="36" t="s">
        <v>13</v>
      </c>
    </row>
    <row r="34" spans="1:8" ht="29">
      <c r="A34" s="228" t="s">
        <v>62</v>
      </c>
      <c r="B34" s="231" t="s">
        <v>63</v>
      </c>
      <c r="C34" s="36" t="s">
        <v>13</v>
      </c>
      <c r="D34" s="36" t="s">
        <v>13</v>
      </c>
      <c r="E34" s="36" t="s">
        <v>13</v>
      </c>
      <c r="F34" s="36" t="s">
        <v>13</v>
      </c>
      <c r="G34" s="36" t="s">
        <v>13</v>
      </c>
      <c r="H34" s="36" t="s">
        <v>13</v>
      </c>
    </row>
    <row r="35" spans="1:8" ht="43.5">
      <c r="A35" s="228" t="s">
        <v>64</v>
      </c>
      <c r="B35" s="231" t="s">
        <v>65</v>
      </c>
      <c r="C35" s="36" t="s">
        <v>13</v>
      </c>
      <c r="D35" s="35"/>
      <c r="E35" s="35"/>
      <c r="F35" s="35"/>
      <c r="G35" s="35"/>
      <c r="H35" s="35"/>
    </row>
    <row r="36" spans="1:8" ht="29">
      <c r="A36" s="228" t="s">
        <v>66</v>
      </c>
      <c r="B36" s="231" t="s">
        <v>67</v>
      </c>
      <c r="C36" s="36"/>
      <c r="D36" s="35"/>
      <c r="E36" s="35"/>
      <c r="F36" s="35"/>
      <c r="G36" s="35"/>
      <c r="H36" s="35"/>
    </row>
    <row r="37" spans="1:8" ht="29">
      <c r="A37" s="228" t="s">
        <v>68</v>
      </c>
      <c r="B37" s="231" t="s">
        <v>69</v>
      </c>
      <c r="C37" s="36"/>
      <c r="D37" s="35"/>
      <c r="E37" s="35"/>
      <c r="F37" s="35"/>
      <c r="G37" s="35"/>
      <c r="H37" s="35"/>
    </row>
    <row r="38" spans="1:8" ht="43.5">
      <c r="A38" s="228" t="s">
        <v>70</v>
      </c>
      <c r="B38" s="231" t="s">
        <v>71</v>
      </c>
      <c r="C38" s="36" t="s">
        <v>13</v>
      </c>
      <c r="D38" s="35"/>
      <c r="E38" s="35"/>
      <c r="F38" s="35"/>
      <c r="G38" s="35"/>
      <c r="H38" s="35"/>
    </row>
    <row r="39" spans="1:8">
      <c r="A39" s="230"/>
    </row>
  </sheetData>
  <pageMargins left="0.7" right="0.7" top="0.75" bottom="0.75" header="0.3" footer="0.3"/>
  <pageSetup paperSize="9" orientation="portrait" r:id="rId1"/>
  <customProperties>
    <customPr name="_pios_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0"/>
  <sheetViews>
    <sheetView showGridLines="0" zoomScaleNormal="100" workbookViewId="0">
      <pane xSplit="4" ySplit="9" topLeftCell="E55" activePane="bottomRight" state="frozen"/>
      <selection pane="topRight" activeCell="D1" sqref="D1"/>
      <selection pane="bottomLeft" activeCell="D1" sqref="D1"/>
      <selection pane="bottomRight" activeCell="D1" sqref="D1"/>
    </sheetView>
  </sheetViews>
  <sheetFormatPr defaultColWidth="8.7265625" defaultRowHeight="14.5"/>
  <cols>
    <col min="1" max="1" width="8.7265625" style="4" customWidth="1"/>
    <col min="2" max="2" width="8.7265625" style="4"/>
    <col min="3" max="3" width="8" style="4" customWidth="1"/>
    <col min="4" max="4" width="69" style="4" bestFit="1" customWidth="1"/>
    <col min="5" max="7" width="8.7265625" style="10" bestFit="1" customWidth="1"/>
    <col min="8" max="8" width="10.1796875" style="10" customWidth="1"/>
    <col min="9" max="9" width="9.453125" style="10" customWidth="1"/>
    <col min="10" max="10" width="9.1796875" style="10" bestFit="1" customWidth="1"/>
    <col min="11" max="13" width="8.453125" style="10" bestFit="1" customWidth="1"/>
    <col min="14" max="14" width="10.26953125" style="10" customWidth="1"/>
    <col min="15" max="15" width="8.7265625" style="4"/>
    <col min="16" max="17" width="8.7265625" style="161"/>
    <col min="18" max="16384" width="8.7265625" style="4"/>
  </cols>
  <sheetData>
    <row r="1" spans="1:24">
      <c r="A1" s="40"/>
      <c r="B1" s="40"/>
      <c r="C1" s="40"/>
      <c r="D1" s="41" t="s">
        <v>2</v>
      </c>
      <c r="E1" s="63"/>
      <c r="F1" s="63"/>
      <c r="G1" s="63"/>
      <c r="H1" s="63"/>
      <c r="I1" s="63"/>
      <c r="J1" s="63"/>
      <c r="K1" s="63"/>
      <c r="L1" s="63"/>
      <c r="M1" s="63"/>
      <c r="N1" s="63"/>
      <c r="O1" s="40"/>
      <c r="P1" s="254"/>
      <c r="Q1" s="254"/>
      <c r="R1" s="40"/>
      <c r="S1" s="40"/>
      <c r="T1" s="40"/>
      <c r="U1" s="40"/>
      <c r="V1" s="40"/>
      <c r="W1" s="40"/>
      <c r="X1" s="40"/>
    </row>
    <row r="2" spans="1:24">
      <c r="A2" s="40"/>
      <c r="B2" s="40"/>
      <c r="C2" s="40"/>
      <c r="D2" s="40"/>
      <c r="E2" s="63"/>
      <c r="F2" s="63"/>
      <c r="G2" s="63"/>
      <c r="H2" s="63"/>
      <c r="I2" s="63"/>
      <c r="J2" s="63"/>
      <c r="K2" s="63"/>
      <c r="L2" s="63"/>
      <c r="M2" s="63"/>
      <c r="N2" s="63"/>
      <c r="O2" s="40"/>
      <c r="P2" s="254"/>
      <c r="Q2" s="254"/>
      <c r="R2" s="40"/>
      <c r="S2" s="40"/>
      <c r="T2" s="40"/>
      <c r="U2" s="40"/>
      <c r="V2" s="40"/>
      <c r="W2" s="40"/>
      <c r="X2" s="40"/>
    </row>
    <row r="3" spans="1:24">
      <c r="A3" s="40"/>
      <c r="B3" s="40"/>
      <c r="C3" s="40"/>
      <c r="D3" s="40"/>
      <c r="E3" s="63"/>
      <c r="F3" s="63"/>
      <c r="G3" s="63"/>
      <c r="H3" s="63"/>
      <c r="I3" s="63"/>
      <c r="J3" s="63"/>
      <c r="K3" s="63"/>
      <c r="L3" s="63"/>
      <c r="M3" s="63"/>
      <c r="N3" s="63"/>
      <c r="O3" s="40"/>
      <c r="P3" s="254"/>
      <c r="Q3" s="254"/>
      <c r="R3" s="40"/>
      <c r="S3" s="40"/>
      <c r="T3" s="40"/>
      <c r="U3" s="40"/>
      <c r="V3" s="40"/>
      <c r="W3" s="40"/>
      <c r="X3" s="40"/>
    </row>
    <row r="4" spans="1:24">
      <c r="A4" s="40"/>
      <c r="B4" s="40"/>
      <c r="C4" s="40"/>
      <c r="D4" s="40"/>
      <c r="E4" s="63"/>
      <c r="F4" s="63"/>
      <c r="G4" s="63"/>
      <c r="H4" s="63"/>
      <c r="I4" s="63"/>
      <c r="J4" s="58"/>
      <c r="K4" s="63"/>
      <c r="L4" s="63"/>
      <c r="M4" s="63"/>
      <c r="N4" s="63"/>
      <c r="O4" s="40"/>
      <c r="P4" s="254"/>
      <c r="Q4" s="254"/>
      <c r="R4" s="40"/>
      <c r="S4" s="40"/>
      <c r="T4" s="40"/>
      <c r="U4" s="40"/>
      <c r="V4" s="40"/>
      <c r="W4" s="40"/>
      <c r="X4" s="40"/>
    </row>
    <row r="5" spans="1:24">
      <c r="A5" s="40"/>
      <c r="B5" s="40"/>
      <c r="C5" s="40"/>
      <c r="D5" s="40"/>
      <c r="E5" s="63"/>
      <c r="F5" s="63"/>
      <c r="G5" s="63"/>
      <c r="H5" s="63"/>
      <c r="I5" s="63"/>
      <c r="J5" s="74"/>
      <c r="K5" s="63"/>
      <c r="L5" s="63"/>
      <c r="M5" s="63"/>
      <c r="N5" s="63"/>
      <c r="O5" s="40"/>
      <c r="P5" s="254"/>
      <c r="Q5" s="254"/>
      <c r="R5" s="40"/>
      <c r="S5" s="40"/>
      <c r="T5" s="40"/>
      <c r="U5" s="40"/>
      <c r="V5" s="40"/>
      <c r="W5" s="40"/>
      <c r="X5" s="40"/>
    </row>
    <row r="6" spans="1:24">
      <c r="A6" s="40"/>
      <c r="B6" s="40"/>
      <c r="C6" s="40"/>
      <c r="D6" s="40"/>
      <c r="E6" s="63"/>
      <c r="F6" s="63"/>
      <c r="G6" s="63"/>
      <c r="H6" s="63"/>
      <c r="I6" s="63"/>
      <c r="J6" s="63"/>
      <c r="K6" s="63"/>
      <c r="L6" s="63"/>
      <c r="M6" s="63"/>
      <c r="N6" s="63"/>
      <c r="O6" s="40"/>
      <c r="P6" s="254"/>
      <c r="Q6" s="254"/>
      <c r="R6" s="40"/>
      <c r="S6" s="40"/>
      <c r="T6" s="40"/>
      <c r="U6" s="40"/>
      <c r="V6" s="40"/>
      <c r="W6" s="40"/>
      <c r="X6" s="40"/>
    </row>
    <row r="7" spans="1:24">
      <c r="A7" s="40"/>
      <c r="B7" s="40"/>
      <c r="C7" s="40"/>
      <c r="D7" s="40"/>
      <c r="E7" s="63"/>
      <c r="F7" s="63"/>
      <c r="G7" s="63"/>
      <c r="H7" s="63"/>
      <c r="I7" s="63"/>
      <c r="J7" s="63"/>
      <c r="K7" s="63"/>
      <c r="L7" s="63"/>
      <c r="M7" s="63"/>
      <c r="N7" s="63"/>
      <c r="O7" s="40"/>
      <c r="P7" s="254"/>
      <c r="Q7" s="254"/>
      <c r="R7" s="40"/>
      <c r="S7" s="40"/>
      <c r="T7" s="40"/>
      <c r="U7" s="40"/>
      <c r="V7" s="40"/>
      <c r="W7" s="40"/>
      <c r="X7" s="40"/>
    </row>
    <row r="8" spans="1:24">
      <c r="A8" s="40"/>
      <c r="B8" s="40"/>
      <c r="C8" s="40"/>
      <c r="D8" s="40"/>
      <c r="E8" s="63"/>
      <c r="F8" s="63"/>
      <c r="G8" s="63"/>
      <c r="H8" s="63"/>
      <c r="I8" s="63"/>
      <c r="J8" s="63"/>
      <c r="K8" s="63"/>
      <c r="L8" s="63"/>
      <c r="M8" s="63"/>
      <c r="N8" s="63"/>
      <c r="O8" s="40"/>
      <c r="P8" s="254"/>
      <c r="Q8" s="254"/>
      <c r="R8" s="40"/>
      <c r="S8" s="40"/>
      <c r="T8" s="40"/>
      <c r="U8" s="40"/>
      <c r="V8" s="40"/>
      <c r="W8" s="40"/>
      <c r="X8" s="40"/>
    </row>
    <row r="9" spans="1:24" ht="31.5" thickBot="1">
      <c r="A9" s="40"/>
      <c r="B9" s="40"/>
      <c r="C9" s="40"/>
      <c r="D9" s="42" t="s">
        <v>13</v>
      </c>
      <c r="E9" s="60" t="s">
        <v>72</v>
      </c>
      <c r="F9" s="60" t="s">
        <v>73</v>
      </c>
      <c r="G9" s="60" t="s">
        <v>74</v>
      </c>
      <c r="H9" s="60" t="s">
        <v>75</v>
      </c>
      <c r="I9" s="60" t="s">
        <v>76</v>
      </c>
      <c r="J9" s="60" t="s">
        <v>77</v>
      </c>
      <c r="K9" s="60" t="s">
        <v>78</v>
      </c>
      <c r="L9" s="60" t="s">
        <v>79</v>
      </c>
      <c r="M9" s="24" t="s">
        <v>80</v>
      </c>
      <c r="N9" s="24" t="s">
        <v>81</v>
      </c>
      <c r="O9" s="25" t="s">
        <v>82</v>
      </c>
      <c r="P9" s="25" t="s">
        <v>83</v>
      </c>
      <c r="Q9" s="25" t="s">
        <v>447</v>
      </c>
      <c r="R9" s="40"/>
      <c r="S9" s="40"/>
      <c r="T9" s="40"/>
      <c r="U9" s="40"/>
      <c r="V9" s="40"/>
      <c r="W9" s="40"/>
      <c r="X9" s="40"/>
    </row>
    <row r="10" spans="1:24">
      <c r="A10" s="40"/>
      <c r="B10" s="40"/>
      <c r="C10" s="40"/>
      <c r="D10" s="41" t="s">
        <v>84</v>
      </c>
      <c r="E10" s="76">
        <v>421951</v>
      </c>
      <c r="F10" s="76">
        <v>427840</v>
      </c>
      <c r="G10" s="76">
        <v>465866</v>
      </c>
      <c r="H10" s="76">
        <v>503127</v>
      </c>
      <c r="I10" s="76">
        <v>534332</v>
      </c>
      <c r="J10" s="76">
        <v>571577</v>
      </c>
      <c r="K10" s="76">
        <v>642253</v>
      </c>
      <c r="L10" s="76">
        <v>705452</v>
      </c>
      <c r="M10" s="76">
        <v>661713</v>
      </c>
      <c r="N10" s="76">
        <v>698693</v>
      </c>
      <c r="O10" s="76">
        <v>615121</v>
      </c>
      <c r="P10" s="76">
        <v>708716</v>
      </c>
      <c r="Q10" s="76">
        <v>763389</v>
      </c>
      <c r="R10" s="40"/>
      <c r="S10" s="40"/>
      <c r="T10" s="40"/>
      <c r="U10" s="40"/>
      <c r="V10" s="40"/>
      <c r="W10" s="40"/>
      <c r="X10" s="40"/>
    </row>
    <row r="11" spans="1:24">
      <c r="A11" s="40"/>
      <c r="B11" s="40"/>
      <c r="C11" s="40"/>
      <c r="D11" s="41" t="s">
        <v>85</v>
      </c>
      <c r="E11" s="76">
        <v>124547</v>
      </c>
      <c r="F11" s="76">
        <v>122245</v>
      </c>
      <c r="G11" s="65">
        <v>137590</v>
      </c>
      <c r="H11" s="65">
        <v>160515</v>
      </c>
      <c r="I11" s="65">
        <v>178586</v>
      </c>
      <c r="J11" s="65">
        <v>208646</v>
      </c>
      <c r="K11" s="65">
        <v>252653</v>
      </c>
      <c r="L11" s="65">
        <v>274117</v>
      </c>
      <c r="M11" s="64">
        <v>262833</v>
      </c>
      <c r="N11" s="64">
        <v>282045</v>
      </c>
      <c r="O11" s="64">
        <v>330145</v>
      </c>
      <c r="P11" s="64">
        <v>399343</v>
      </c>
      <c r="Q11" s="64">
        <v>400234</v>
      </c>
      <c r="R11" s="40"/>
      <c r="S11" s="40"/>
      <c r="T11" s="40"/>
      <c r="U11" s="40"/>
      <c r="V11" s="40"/>
      <c r="W11" s="40"/>
      <c r="X11" s="40"/>
    </row>
    <row r="12" spans="1:24" ht="16.5">
      <c r="A12" s="40"/>
      <c r="B12" s="40"/>
      <c r="C12" s="40"/>
      <c r="D12" s="41" t="s">
        <v>86</v>
      </c>
      <c r="E12" s="70" t="s">
        <v>87</v>
      </c>
      <c r="F12" s="70" t="s">
        <v>87</v>
      </c>
      <c r="G12" s="70" t="s">
        <v>87</v>
      </c>
      <c r="H12" s="70" t="s">
        <v>87</v>
      </c>
      <c r="I12" s="70" t="s">
        <v>87</v>
      </c>
      <c r="J12" s="70" t="s">
        <v>87</v>
      </c>
      <c r="K12" s="70" t="s">
        <v>87</v>
      </c>
      <c r="L12" s="70" t="s">
        <v>87</v>
      </c>
      <c r="M12" s="70" t="s">
        <v>87</v>
      </c>
      <c r="N12" s="64">
        <v>430169</v>
      </c>
      <c r="O12" s="64">
        <v>448820</v>
      </c>
      <c r="P12" s="64">
        <v>465386</v>
      </c>
      <c r="Q12" s="64" t="s">
        <v>87</v>
      </c>
      <c r="R12" s="40"/>
      <c r="S12" s="40"/>
      <c r="T12" s="40"/>
      <c r="U12" s="40"/>
      <c r="V12" s="40"/>
      <c r="W12" s="40"/>
      <c r="X12" s="40"/>
    </row>
    <row r="13" spans="1:24" ht="16.5">
      <c r="A13" s="40"/>
      <c r="B13" s="40"/>
      <c r="C13" s="40"/>
      <c r="D13" s="41" t="s">
        <v>88</v>
      </c>
      <c r="E13" s="70" t="s">
        <v>87</v>
      </c>
      <c r="F13" s="70" t="s">
        <v>87</v>
      </c>
      <c r="G13" s="70" t="s">
        <v>87</v>
      </c>
      <c r="H13" s="70" t="s">
        <v>87</v>
      </c>
      <c r="I13" s="70" t="s">
        <v>87</v>
      </c>
      <c r="J13" s="70" t="s">
        <v>87</v>
      </c>
      <c r="K13" s="70" t="s">
        <v>87</v>
      </c>
      <c r="L13" s="70" t="s">
        <v>87</v>
      </c>
      <c r="M13" s="70" t="s">
        <v>87</v>
      </c>
      <c r="N13" s="64">
        <v>356568</v>
      </c>
      <c r="O13" s="64">
        <v>415179</v>
      </c>
      <c r="P13" s="64">
        <v>440375</v>
      </c>
      <c r="Q13" s="64" t="s">
        <v>87</v>
      </c>
      <c r="R13" s="40"/>
      <c r="S13" s="40"/>
      <c r="T13" s="40"/>
      <c r="U13" s="40"/>
      <c r="V13" s="40"/>
      <c r="W13" s="40"/>
      <c r="X13" s="40"/>
    </row>
    <row r="14" spans="1:24">
      <c r="A14" s="40"/>
      <c r="B14" s="40"/>
      <c r="C14" s="40"/>
      <c r="D14" s="41" t="s">
        <v>89</v>
      </c>
      <c r="E14" s="76">
        <v>-6289</v>
      </c>
      <c r="F14" s="76">
        <v>-5864</v>
      </c>
      <c r="G14" s="65">
        <v>-7193</v>
      </c>
      <c r="H14" s="65">
        <v>-9480</v>
      </c>
      <c r="I14" s="65">
        <v>-10174</v>
      </c>
      <c r="J14" s="65">
        <v>-10187</v>
      </c>
      <c r="K14" s="65">
        <v>-10903</v>
      </c>
      <c r="L14" s="65">
        <v>-11446</v>
      </c>
      <c r="M14" s="64">
        <v>-11362</v>
      </c>
      <c r="N14" s="64">
        <v>-12714</v>
      </c>
      <c r="O14" s="64">
        <v>-11514</v>
      </c>
      <c r="P14" s="64">
        <v>-12884</v>
      </c>
      <c r="Q14" s="64">
        <v>-16983</v>
      </c>
      <c r="R14" s="40"/>
      <c r="S14" s="40"/>
      <c r="T14" s="40"/>
      <c r="U14" s="40"/>
      <c r="V14" s="40"/>
      <c r="W14" s="40"/>
      <c r="X14" s="40"/>
    </row>
    <row r="15" spans="1:24">
      <c r="A15" s="40"/>
      <c r="B15" s="40"/>
      <c r="C15" s="40"/>
      <c r="D15" s="41" t="s">
        <v>90</v>
      </c>
      <c r="E15" s="70">
        <v>66</v>
      </c>
      <c r="F15" s="76">
        <v>1919</v>
      </c>
      <c r="G15" s="65">
        <v>2128</v>
      </c>
      <c r="H15" s="65">
        <v>6620</v>
      </c>
      <c r="I15" s="65">
        <v>11014</v>
      </c>
      <c r="J15" s="65">
        <v>14061</v>
      </c>
      <c r="K15" s="65">
        <v>14185</v>
      </c>
      <c r="L15" s="65">
        <v>14303</v>
      </c>
      <c r="M15" s="64">
        <v>8036</v>
      </c>
      <c r="N15" s="64">
        <v>20275</v>
      </c>
      <c r="O15" s="64">
        <v>22332</v>
      </c>
      <c r="P15" s="64">
        <v>19939</v>
      </c>
      <c r="Q15" s="64">
        <v>22318</v>
      </c>
      <c r="R15" s="40"/>
      <c r="S15" s="40"/>
      <c r="T15" s="40"/>
      <c r="U15" s="40"/>
      <c r="V15" s="40"/>
      <c r="W15" s="40"/>
      <c r="X15" s="40"/>
    </row>
    <row r="16" spans="1:24">
      <c r="A16" s="40"/>
      <c r="B16" s="40"/>
      <c r="C16" s="40"/>
      <c r="D16" s="41" t="s">
        <v>91</v>
      </c>
      <c r="E16" s="63">
        <v>-6</v>
      </c>
      <c r="F16" s="64">
        <v>1740</v>
      </c>
      <c r="G16" s="64">
        <v>1937</v>
      </c>
      <c r="H16" s="64">
        <v>6390</v>
      </c>
      <c r="I16" s="64">
        <v>10596</v>
      </c>
      <c r="J16" s="64">
        <v>13861</v>
      </c>
      <c r="K16" s="64">
        <v>14118</v>
      </c>
      <c r="L16" s="64">
        <v>14471</v>
      </c>
      <c r="M16" s="64">
        <v>8388</v>
      </c>
      <c r="N16" s="64">
        <v>21226</v>
      </c>
      <c r="O16" s="64">
        <v>17889</v>
      </c>
      <c r="P16" s="64">
        <v>25567</v>
      </c>
      <c r="Q16" s="64">
        <v>27040</v>
      </c>
      <c r="R16" s="40"/>
      <c r="S16" s="40"/>
      <c r="T16" s="40"/>
      <c r="U16" s="40"/>
      <c r="V16" s="40"/>
      <c r="W16" s="40"/>
      <c r="X16" s="40"/>
    </row>
    <row r="17" spans="1:24">
      <c r="A17" s="40"/>
      <c r="B17" s="40"/>
      <c r="C17" s="40"/>
      <c r="D17" s="41" t="s">
        <v>92</v>
      </c>
      <c r="E17" s="70">
        <v>-542</v>
      </c>
      <c r="F17" s="70">
        <v>960</v>
      </c>
      <c r="G17" s="66">
        <v>508</v>
      </c>
      <c r="H17" s="65">
        <v>4476</v>
      </c>
      <c r="I17" s="65">
        <v>7460</v>
      </c>
      <c r="J17" s="65">
        <v>10225</v>
      </c>
      <c r="K17" s="65">
        <v>9781</v>
      </c>
      <c r="L17" s="65">
        <v>9603</v>
      </c>
      <c r="M17" s="64">
        <v>7308</v>
      </c>
      <c r="N17" s="64">
        <v>14177</v>
      </c>
      <c r="O17" s="64">
        <v>17003</v>
      </c>
      <c r="P17" s="64">
        <v>14066</v>
      </c>
      <c r="Q17" s="64">
        <v>15934</v>
      </c>
      <c r="R17" s="40"/>
      <c r="S17" s="40"/>
      <c r="T17" s="40"/>
      <c r="U17" s="40"/>
      <c r="V17" s="40"/>
      <c r="W17" s="40"/>
      <c r="X17" s="40"/>
    </row>
    <row r="18" spans="1:24">
      <c r="A18" s="40"/>
      <c r="B18" s="40"/>
      <c r="C18" s="40"/>
      <c r="D18" s="41" t="s">
        <v>93</v>
      </c>
      <c r="E18" s="70" t="s">
        <v>94</v>
      </c>
      <c r="F18" s="70" t="s">
        <v>94</v>
      </c>
      <c r="G18" s="66" t="s">
        <v>94</v>
      </c>
      <c r="H18" s="66" t="s">
        <v>94</v>
      </c>
      <c r="I18" s="66" t="s">
        <v>94</v>
      </c>
      <c r="J18" s="66" t="s">
        <v>94</v>
      </c>
      <c r="K18" s="66" t="s">
        <v>94</v>
      </c>
      <c r="L18" s="66" t="s">
        <v>94</v>
      </c>
      <c r="M18" s="63">
        <v>2.19</v>
      </c>
      <c r="N18" s="63">
        <v>4.72</v>
      </c>
      <c r="O18" s="66">
        <v>5.23</v>
      </c>
      <c r="P18" s="66">
        <v>4.38</v>
      </c>
      <c r="Q18" s="284">
        <v>5.17</v>
      </c>
      <c r="R18" s="40"/>
      <c r="S18" s="40"/>
      <c r="T18" s="40"/>
      <c r="U18" s="40"/>
      <c r="V18" s="40"/>
      <c r="W18" s="40"/>
      <c r="X18" s="40"/>
    </row>
    <row r="19" spans="1:24">
      <c r="A19" s="40"/>
      <c r="B19" s="40"/>
      <c r="C19" s="40"/>
      <c r="D19" s="41" t="s">
        <v>95</v>
      </c>
      <c r="E19" s="76">
        <v>8082</v>
      </c>
      <c r="F19" s="76">
        <v>9057</v>
      </c>
      <c r="G19" s="65">
        <v>9491</v>
      </c>
      <c r="H19" s="65">
        <v>16019</v>
      </c>
      <c r="I19" s="64">
        <v>21541</v>
      </c>
      <c r="J19" s="64">
        <v>26159</v>
      </c>
      <c r="K19" s="64">
        <v>27398</v>
      </c>
      <c r="L19" s="64">
        <v>29851</v>
      </c>
      <c r="M19" s="64">
        <v>22578</v>
      </c>
      <c r="N19" s="64">
        <v>35280</v>
      </c>
      <c r="O19" s="64">
        <v>38423</v>
      </c>
      <c r="P19" s="64">
        <v>37388</v>
      </c>
      <c r="Q19" s="64">
        <v>45048</v>
      </c>
      <c r="R19" s="40"/>
      <c r="S19" s="40"/>
      <c r="T19" s="40"/>
      <c r="U19" s="40"/>
      <c r="V19" s="40"/>
      <c r="W19" s="40"/>
      <c r="X19" s="40"/>
    </row>
    <row r="20" spans="1:24" ht="16.5">
      <c r="A20" s="40"/>
      <c r="B20" s="40"/>
      <c r="C20" s="40"/>
      <c r="D20" s="41" t="s">
        <v>96</v>
      </c>
      <c r="E20" s="70" t="s">
        <v>87</v>
      </c>
      <c r="F20" s="70" t="s">
        <v>87</v>
      </c>
      <c r="G20" s="70" t="s">
        <v>87</v>
      </c>
      <c r="H20" s="70" t="s">
        <v>87</v>
      </c>
      <c r="I20" s="70" t="s">
        <v>87</v>
      </c>
      <c r="J20" s="70" t="s">
        <v>87</v>
      </c>
      <c r="K20" s="70" t="s">
        <v>87</v>
      </c>
      <c r="L20" s="70" t="s">
        <v>87</v>
      </c>
      <c r="M20" s="70" t="s">
        <v>87</v>
      </c>
      <c r="N20" s="64">
        <v>57277</v>
      </c>
      <c r="O20" s="64">
        <v>36758</v>
      </c>
      <c r="P20" s="64">
        <v>40269</v>
      </c>
      <c r="Q20" s="70" t="s">
        <v>87</v>
      </c>
      <c r="R20" s="40"/>
      <c r="S20" s="40"/>
      <c r="T20" s="40"/>
      <c r="U20" s="40"/>
      <c r="V20" s="40"/>
      <c r="W20" s="40"/>
      <c r="X20" s="40"/>
    </row>
    <row r="21" spans="1:24" ht="16.5">
      <c r="A21" s="40"/>
      <c r="B21" s="40"/>
      <c r="C21" s="40"/>
      <c r="D21" s="41" t="s">
        <v>97</v>
      </c>
      <c r="E21" s="70" t="s">
        <v>87</v>
      </c>
      <c r="F21" s="70" t="s">
        <v>87</v>
      </c>
      <c r="G21" s="70" t="s">
        <v>87</v>
      </c>
      <c r="H21" s="70" t="s">
        <v>87</v>
      </c>
      <c r="I21" s="70" t="s">
        <v>87</v>
      </c>
      <c r="J21" s="70" t="s">
        <v>87</v>
      </c>
      <c r="K21" s="70" t="s">
        <v>87</v>
      </c>
      <c r="L21" s="70" t="s">
        <v>87</v>
      </c>
      <c r="M21" s="70" t="s">
        <v>87</v>
      </c>
      <c r="N21" s="64">
        <v>68723</v>
      </c>
      <c r="O21" s="64">
        <v>88865</v>
      </c>
      <c r="P21" s="64">
        <v>102898</v>
      </c>
      <c r="Q21" s="70" t="s">
        <v>87</v>
      </c>
      <c r="R21" s="40"/>
      <c r="S21" s="40"/>
      <c r="T21" s="40"/>
      <c r="U21" s="40"/>
      <c r="V21" s="40"/>
      <c r="W21" s="40"/>
      <c r="X21" s="40"/>
    </row>
    <row r="22" spans="1:24">
      <c r="A22" s="40"/>
      <c r="B22" s="40"/>
      <c r="C22" s="40"/>
      <c r="D22" s="41" t="s">
        <v>98</v>
      </c>
      <c r="E22" s="76">
        <v>2749</v>
      </c>
      <c r="F22" s="76">
        <v>8861</v>
      </c>
      <c r="G22" s="65">
        <v>8839</v>
      </c>
      <c r="H22" s="65">
        <v>23140</v>
      </c>
      <c r="I22" s="65">
        <v>27287</v>
      </c>
      <c r="J22" s="65">
        <v>24933</v>
      </c>
      <c r="K22" s="65">
        <v>26765</v>
      </c>
      <c r="L22" s="65">
        <v>32374</v>
      </c>
      <c r="M22" s="64">
        <v>34890</v>
      </c>
      <c r="N22" s="64">
        <v>29852</v>
      </c>
      <c r="O22" s="64">
        <v>33658</v>
      </c>
      <c r="P22" s="64">
        <v>42867</v>
      </c>
      <c r="Q22" s="64">
        <v>47372</v>
      </c>
      <c r="R22" s="40"/>
      <c r="S22" s="40"/>
      <c r="T22" s="40"/>
      <c r="U22" s="40"/>
      <c r="V22" s="40"/>
      <c r="W22" s="40"/>
      <c r="X22" s="40"/>
    </row>
    <row r="23" spans="1:24">
      <c r="A23" s="40"/>
      <c r="B23" s="40"/>
      <c r="C23" s="40"/>
      <c r="D23" s="41" t="s">
        <v>99</v>
      </c>
      <c r="E23" s="76">
        <v>-7678</v>
      </c>
      <c r="F23" s="76">
        <v>-8752</v>
      </c>
      <c r="G23" s="64">
        <v>-13605</v>
      </c>
      <c r="H23" s="65">
        <v>-15906</v>
      </c>
      <c r="I23" s="65">
        <v>-20772</v>
      </c>
      <c r="J23" s="65">
        <v>-28733</v>
      </c>
      <c r="K23" s="65">
        <v>-22060</v>
      </c>
      <c r="L23" s="65">
        <v>-20801</v>
      </c>
      <c r="M23" s="64">
        <v>-21608</v>
      </c>
      <c r="N23" s="64">
        <v>-34737</v>
      </c>
      <c r="O23" s="64">
        <v>-39552</v>
      </c>
      <c r="P23" s="64">
        <v>-51842</v>
      </c>
      <c r="Q23" s="64">
        <v>-46245</v>
      </c>
      <c r="R23" s="40"/>
      <c r="S23" s="40"/>
      <c r="T23" s="40"/>
      <c r="U23" s="40"/>
      <c r="V23" s="40"/>
      <c r="W23" s="40"/>
      <c r="X23" s="40"/>
    </row>
    <row r="24" spans="1:24">
      <c r="A24" s="40"/>
      <c r="B24" s="40"/>
      <c r="C24" s="40"/>
      <c r="D24" s="41" t="s">
        <v>100</v>
      </c>
      <c r="E24" s="76">
        <v>2240</v>
      </c>
      <c r="F24" s="76">
        <v>2607</v>
      </c>
      <c r="G24" s="70">
        <v>856</v>
      </c>
      <c r="H24" s="76">
        <v>7721</v>
      </c>
      <c r="I24" s="76">
        <v>18873</v>
      </c>
      <c r="J24" s="76">
        <v>12513</v>
      </c>
      <c r="K24" s="76">
        <v>18029</v>
      </c>
      <c r="L24" s="76">
        <v>25214</v>
      </c>
      <c r="M24" s="76">
        <v>35241</v>
      </c>
      <c r="N24" s="76">
        <v>44846</v>
      </c>
      <c r="O24" s="76">
        <v>38061</v>
      </c>
      <c r="P24" s="76">
        <v>27487</v>
      </c>
      <c r="Q24" s="76">
        <v>27115</v>
      </c>
      <c r="R24" s="40"/>
      <c r="S24" s="40"/>
      <c r="T24" s="40"/>
      <c r="U24" s="40"/>
      <c r="V24" s="40"/>
      <c r="W24" s="40"/>
      <c r="X24" s="40"/>
    </row>
    <row r="25" spans="1:24">
      <c r="A25" s="40"/>
      <c r="B25" s="40"/>
      <c r="C25" s="40"/>
      <c r="D25" s="41" t="s">
        <v>101</v>
      </c>
      <c r="E25" s="70">
        <v>16</v>
      </c>
      <c r="F25" s="70">
        <v>16.600000000000001</v>
      </c>
      <c r="G25" s="70">
        <v>17.100000000000001</v>
      </c>
      <c r="H25" s="70">
        <v>21.8</v>
      </c>
      <c r="I25" s="70">
        <v>21.7</v>
      </c>
      <c r="J25" s="70">
        <v>22.4</v>
      </c>
      <c r="K25" s="70">
        <v>19.5</v>
      </c>
      <c r="L25" s="70">
        <v>19</v>
      </c>
      <c r="M25" s="70">
        <v>17.5</v>
      </c>
      <c r="N25" s="70">
        <v>21.6</v>
      </c>
      <c r="O25" s="70">
        <v>18.3</v>
      </c>
      <c r="P25" s="70">
        <v>19.399999999999999</v>
      </c>
      <c r="Q25" s="70">
        <v>19.8</v>
      </c>
      <c r="R25" s="43"/>
      <c r="S25" s="43"/>
      <c r="T25" s="43"/>
      <c r="U25" s="43"/>
      <c r="V25" s="40"/>
      <c r="W25" s="40"/>
      <c r="X25" s="40"/>
    </row>
    <row r="26" spans="1:24" ht="16.5">
      <c r="A26" s="40"/>
      <c r="B26" s="40"/>
      <c r="C26" s="40"/>
      <c r="D26" s="41" t="s">
        <v>102</v>
      </c>
      <c r="E26" s="70" t="s">
        <v>87</v>
      </c>
      <c r="F26" s="70" t="s">
        <v>87</v>
      </c>
      <c r="G26" s="70" t="s">
        <v>87</v>
      </c>
      <c r="H26" s="70" t="s">
        <v>87</v>
      </c>
      <c r="I26" s="70" t="s">
        <v>87</v>
      </c>
      <c r="J26" s="70" t="s">
        <v>87</v>
      </c>
      <c r="K26" s="70" t="s">
        <v>87</v>
      </c>
      <c r="L26" s="70" t="s">
        <v>87</v>
      </c>
      <c r="M26" s="70" t="s">
        <v>87</v>
      </c>
      <c r="N26" s="70">
        <v>13.3</v>
      </c>
      <c r="O26" s="70">
        <v>8.1999999999999993</v>
      </c>
      <c r="P26" s="70">
        <v>8.6999999999999993</v>
      </c>
      <c r="Q26" s="70" t="s">
        <v>87</v>
      </c>
      <c r="R26" s="43"/>
      <c r="S26" s="43"/>
      <c r="T26" s="43"/>
      <c r="U26" s="43"/>
      <c r="V26" s="40"/>
      <c r="W26" s="40"/>
      <c r="X26" s="40"/>
    </row>
    <row r="27" spans="1:24" ht="16.5">
      <c r="A27" s="40"/>
      <c r="B27" s="40"/>
      <c r="C27" s="40"/>
      <c r="D27" s="41" t="s">
        <v>103</v>
      </c>
      <c r="E27" s="70" t="s">
        <v>87</v>
      </c>
      <c r="F27" s="70" t="s">
        <v>87</v>
      </c>
      <c r="G27" s="70" t="s">
        <v>87</v>
      </c>
      <c r="H27" s="70" t="s">
        <v>87</v>
      </c>
      <c r="I27" s="70" t="s">
        <v>87</v>
      </c>
      <c r="J27" s="70" t="s">
        <v>87</v>
      </c>
      <c r="K27" s="70" t="s">
        <v>87</v>
      </c>
      <c r="L27" s="70" t="s">
        <v>87</v>
      </c>
      <c r="M27" s="70" t="s">
        <v>87</v>
      </c>
      <c r="N27" s="70">
        <v>19.3</v>
      </c>
      <c r="O27" s="70">
        <v>21.4</v>
      </c>
      <c r="P27" s="70">
        <v>23.4</v>
      </c>
      <c r="Q27" s="70" t="s">
        <v>87</v>
      </c>
      <c r="R27" s="43"/>
      <c r="S27" s="43"/>
      <c r="T27" s="43"/>
      <c r="U27" s="43"/>
      <c r="V27" s="40"/>
      <c r="W27" s="40"/>
      <c r="X27" s="40"/>
    </row>
    <row r="28" spans="1:24">
      <c r="A28" s="40"/>
      <c r="B28" s="40"/>
      <c r="C28" s="40"/>
      <c r="D28" s="41" t="s">
        <v>104</v>
      </c>
      <c r="E28" s="70">
        <v>0.1</v>
      </c>
      <c r="F28" s="70">
        <v>1.6</v>
      </c>
      <c r="G28" s="70">
        <v>1.5</v>
      </c>
      <c r="H28" s="70">
        <v>4.0999999999999996</v>
      </c>
      <c r="I28" s="70">
        <v>6.2</v>
      </c>
      <c r="J28" s="70">
        <v>6.7</v>
      </c>
      <c r="K28" s="70">
        <v>5.6</v>
      </c>
      <c r="L28" s="70">
        <v>5.2</v>
      </c>
      <c r="M28" s="70">
        <v>3.1</v>
      </c>
      <c r="N28" s="63">
        <v>7.2</v>
      </c>
      <c r="O28" s="63">
        <v>6.8</v>
      </c>
      <c r="P28" s="273">
        <v>5</v>
      </c>
      <c r="Q28" s="273">
        <v>5.6</v>
      </c>
      <c r="R28" s="43"/>
      <c r="S28" s="43"/>
      <c r="T28" s="43"/>
      <c r="U28" s="43"/>
      <c r="V28" s="43"/>
      <c r="W28" s="43"/>
      <c r="X28" s="43"/>
    </row>
    <row r="29" spans="1:24">
      <c r="A29" s="40"/>
      <c r="B29" s="40"/>
      <c r="C29" s="40"/>
      <c r="D29" s="41" t="s">
        <v>105</v>
      </c>
      <c r="E29" s="70">
        <v>0</v>
      </c>
      <c r="F29" s="70">
        <v>1.4</v>
      </c>
      <c r="G29" s="70">
        <v>1.4</v>
      </c>
      <c r="H29" s="70">
        <v>4</v>
      </c>
      <c r="I29" s="70">
        <v>5.9</v>
      </c>
      <c r="J29" s="70">
        <v>6.6</v>
      </c>
      <c r="K29" s="70">
        <v>5.6</v>
      </c>
      <c r="L29" s="70">
        <v>5.3</v>
      </c>
      <c r="M29" s="70">
        <v>3.2</v>
      </c>
      <c r="N29" s="63">
        <v>7.5</v>
      </c>
      <c r="O29" s="63">
        <v>5.4</v>
      </c>
      <c r="P29" s="63">
        <v>6.4</v>
      </c>
      <c r="Q29" s="63">
        <v>6.8</v>
      </c>
      <c r="R29" s="43"/>
      <c r="S29" s="43"/>
      <c r="T29" s="43"/>
      <c r="U29" s="43"/>
      <c r="V29" s="43"/>
      <c r="W29" s="43"/>
      <c r="X29" s="43"/>
    </row>
    <row r="30" spans="1:24">
      <c r="A30" s="40"/>
      <c r="B30" s="40"/>
      <c r="C30" s="40"/>
      <c r="D30" s="41" t="s">
        <v>106</v>
      </c>
      <c r="E30" s="70">
        <v>6.5</v>
      </c>
      <c r="F30" s="70">
        <v>7.4</v>
      </c>
      <c r="G30" s="70">
        <v>6.9</v>
      </c>
      <c r="H30" s="70">
        <v>10</v>
      </c>
      <c r="I30" s="70">
        <v>12.1</v>
      </c>
      <c r="J30" s="70">
        <v>12.5</v>
      </c>
      <c r="K30" s="70">
        <v>10.8</v>
      </c>
      <c r="L30" s="70">
        <v>10.9</v>
      </c>
      <c r="M30" s="70">
        <v>8.6</v>
      </c>
      <c r="N30" s="63">
        <v>12.5</v>
      </c>
      <c r="O30" s="63">
        <v>11.6</v>
      </c>
      <c r="P30" s="63">
        <v>9.4</v>
      </c>
      <c r="Q30" s="63">
        <v>11.3</v>
      </c>
      <c r="R30" s="36" t="s">
        <v>13</v>
      </c>
      <c r="S30" s="36" t="s">
        <v>13</v>
      </c>
      <c r="T30" s="36" t="s">
        <v>13</v>
      </c>
      <c r="U30" s="36" t="s">
        <v>13</v>
      </c>
      <c r="V30" s="36" t="s">
        <v>13</v>
      </c>
      <c r="W30" s="36" t="s">
        <v>13</v>
      </c>
      <c r="X30" s="36" t="s">
        <v>13</v>
      </c>
    </row>
    <row r="31" spans="1:24">
      <c r="A31" s="40"/>
      <c r="B31" s="40"/>
      <c r="C31" s="40"/>
      <c r="D31" s="41" t="s">
        <v>107</v>
      </c>
      <c r="E31" s="70" t="s">
        <v>87</v>
      </c>
      <c r="F31" s="70" t="s">
        <v>87</v>
      </c>
      <c r="G31" s="70" t="s">
        <v>87</v>
      </c>
      <c r="H31" s="70" t="s">
        <v>87</v>
      </c>
      <c r="I31" s="70" t="s">
        <v>87</v>
      </c>
      <c r="J31" s="70" t="s">
        <v>87</v>
      </c>
      <c r="K31" s="70" t="s">
        <v>87</v>
      </c>
      <c r="L31" s="70" t="s">
        <v>87</v>
      </c>
      <c r="M31" s="70" t="s">
        <v>87</v>
      </c>
      <c r="N31" s="63">
        <v>33.4</v>
      </c>
      <c r="O31" s="63">
        <v>35.4</v>
      </c>
      <c r="P31" s="63">
        <v>36.6</v>
      </c>
      <c r="Q31" s="63">
        <v>36.6</v>
      </c>
      <c r="R31" s="36"/>
      <c r="S31" s="36"/>
      <c r="T31" s="36"/>
      <c r="U31" s="36"/>
      <c r="V31" s="36"/>
      <c r="W31" s="36"/>
      <c r="X31" s="36"/>
    </row>
    <row r="32" spans="1:24" ht="16.5">
      <c r="A32" s="40"/>
      <c r="B32" s="40"/>
      <c r="C32" s="40"/>
      <c r="D32" s="41" t="s">
        <v>108</v>
      </c>
      <c r="E32" s="70" t="s">
        <v>87</v>
      </c>
      <c r="F32" s="70" t="s">
        <v>87</v>
      </c>
      <c r="G32" s="70" t="s">
        <v>87</v>
      </c>
      <c r="H32" s="70" t="s">
        <v>87</v>
      </c>
      <c r="I32" s="70" t="s">
        <v>87</v>
      </c>
      <c r="J32" s="70" t="s">
        <v>87</v>
      </c>
      <c r="K32" s="70" t="s">
        <v>87</v>
      </c>
      <c r="L32" s="70" t="s">
        <v>87</v>
      </c>
      <c r="M32" s="70" t="s">
        <v>87</v>
      </c>
      <c r="N32" s="63">
        <v>53.6</v>
      </c>
      <c r="O32" s="63">
        <v>68.5</v>
      </c>
      <c r="P32" s="63">
        <v>68.400000000000006</v>
      </c>
      <c r="Q32" s="70" t="s">
        <v>87</v>
      </c>
      <c r="R32" s="36"/>
      <c r="S32" s="36"/>
      <c r="T32" s="36"/>
      <c r="U32" s="36"/>
      <c r="V32" s="36"/>
      <c r="W32" s="36"/>
      <c r="X32" s="36"/>
    </row>
    <row r="33" spans="1:24" ht="16.5">
      <c r="A33" s="40"/>
      <c r="B33" s="40"/>
      <c r="C33" s="40"/>
      <c r="D33" s="41" t="s">
        <v>109</v>
      </c>
      <c r="E33" s="70" t="s">
        <v>87</v>
      </c>
      <c r="F33" s="70" t="s">
        <v>87</v>
      </c>
      <c r="G33" s="70" t="s">
        <v>87</v>
      </c>
      <c r="H33" s="70" t="s">
        <v>87</v>
      </c>
      <c r="I33" s="70" t="s">
        <v>87</v>
      </c>
      <c r="J33" s="70" t="s">
        <v>87</v>
      </c>
      <c r="K33" s="70" t="s">
        <v>87</v>
      </c>
      <c r="L33" s="70" t="s">
        <v>87</v>
      </c>
      <c r="M33" s="70" t="s">
        <v>87</v>
      </c>
      <c r="N33" s="63">
        <v>12.9</v>
      </c>
      <c r="O33" s="63">
        <v>6.2</v>
      </c>
      <c r="P33" s="63">
        <v>5.9</v>
      </c>
      <c r="Q33" s="70" t="s">
        <v>87</v>
      </c>
      <c r="R33" s="36"/>
      <c r="S33" s="36"/>
      <c r="T33" s="36"/>
      <c r="U33" s="36"/>
      <c r="V33" s="36"/>
      <c r="W33" s="36"/>
      <c r="X33" s="36"/>
    </row>
    <row r="34" spans="1:24" ht="15">
      <c r="A34" s="40"/>
      <c r="B34" s="40"/>
      <c r="C34" s="40"/>
      <c r="D34" s="34" t="s">
        <v>110</v>
      </c>
      <c r="E34" s="70" t="s">
        <v>87</v>
      </c>
      <c r="F34" s="70">
        <v>4.2</v>
      </c>
      <c r="G34" s="70">
        <v>3.8</v>
      </c>
      <c r="H34" s="70">
        <v>10.6</v>
      </c>
      <c r="I34" s="70">
        <v>18.2</v>
      </c>
      <c r="J34" s="70">
        <v>19.399999999999999</v>
      </c>
      <c r="K34" s="70">
        <v>16.100000000000001</v>
      </c>
      <c r="L34" s="70">
        <v>14.5</v>
      </c>
      <c r="M34" s="70">
        <v>7.9</v>
      </c>
      <c r="N34" s="70">
        <v>18.600000000000001</v>
      </c>
      <c r="O34" s="70">
        <v>16.7</v>
      </c>
      <c r="P34" s="70">
        <v>12.4</v>
      </c>
      <c r="Q34" s="70">
        <v>12</v>
      </c>
      <c r="R34" s="40"/>
      <c r="S34" s="40"/>
      <c r="T34" s="40"/>
      <c r="U34" s="40"/>
      <c r="V34" s="40"/>
      <c r="W34" s="40"/>
      <c r="X34" s="40"/>
    </row>
    <row r="35" spans="1:24">
      <c r="A35" s="40"/>
      <c r="B35" s="40"/>
      <c r="C35" s="40"/>
      <c r="D35" s="40"/>
      <c r="E35" s="66"/>
      <c r="F35" s="66"/>
      <c r="G35" s="66"/>
      <c r="H35" s="66"/>
      <c r="I35" s="66"/>
      <c r="J35" s="66"/>
      <c r="K35" s="66"/>
      <c r="L35" s="66"/>
      <c r="M35" s="63"/>
      <c r="N35" s="63"/>
      <c r="O35" s="66"/>
      <c r="P35" s="267"/>
      <c r="Q35" s="267"/>
      <c r="R35" s="40"/>
      <c r="S35" s="40"/>
      <c r="T35" s="40"/>
      <c r="U35" s="40"/>
      <c r="V35" s="40"/>
      <c r="W35" s="40"/>
      <c r="X35" s="40"/>
    </row>
    <row r="36" spans="1:24">
      <c r="A36" s="40"/>
      <c r="B36" s="40"/>
      <c r="C36" s="40"/>
      <c r="D36" s="253" t="s">
        <v>111</v>
      </c>
      <c r="E36" s="63"/>
      <c r="F36" s="63"/>
      <c r="G36" s="63"/>
      <c r="H36" s="63"/>
      <c r="I36" s="63"/>
      <c r="J36" s="63"/>
      <c r="K36" s="63"/>
      <c r="L36" s="63"/>
      <c r="M36" s="63"/>
      <c r="N36" s="63"/>
      <c r="O36" s="63"/>
      <c r="P36" s="58"/>
      <c r="Q36" s="58"/>
      <c r="R36" s="40"/>
      <c r="S36" s="40"/>
      <c r="T36" s="40"/>
      <c r="U36" s="40"/>
      <c r="V36" s="40"/>
      <c r="W36" s="40"/>
      <c r="X36" s="40"/>
    </row>
    <row r="37" spans="1:24" ht="44" thickBot="1">
      <c r="A37" s="40"/>
      <c r="B37" s="40"/>
      <c r="C37" s="40"/>
      <c r="D37" s="44" t="s">
        <v>112</v>
      </c>
      <c r="E37" s="60" t="s">
        <v>113</v>
      </c>
      <c r="F37" s="60" t="s">
        <v>114</v>
      </c>
      <c r="G37" s="60" t="s">
        <v>115</v>
      </c>
      <c r="H37" s="60" t="s">
        <v>116</v>
      </c>
      <c r="I37" s="60" t="s">
        <v>117</v>
      </c>
      <c r="J37" s="60" t="s">
        <v>118</v>
      </c>
      <c r="K37" s="60" t="s">
        <v>119</v>
      </c>
      <c r="L37" s="60" t="s">
        <v>79</v>
      </c>
      <c r="M37" s="60" t="s">
        <v>120</v>
      </c>
      <c r="N37" s="60" t="s">
        <v>121</v>
      </c>
      <c r="O37" s="60" t="s">
        <v>82</v>
      </c>
      <c r="P37" s="60" t="s">
        <v>83</v>
      </c>
      <c r="Q37" s="60" t="s">
        <v>447</v>
      </c>
      <c r="R37" s="40"/>
      <c r="S37" s="40"/>
      <c r="T37" s="40"/>
      <c r="U37" s="40"/>
      <c r="V37" s="40"/>
      <c r="W37" s="40"/>
      <c r="X37" s="40"/>
    </row>
    <row r="38" spans="1:24">
      <c r="A38" s="40"/>
      <c r="B38" s="40"/>
      <c r="C38" s="40"/>
      <c r="D38" s="45" t="s">
        <v>122</v>
      </c>
      <c r="E38" s="63"/>
      <c r="F38" s="63"/>
      <c r="G38" s="63"/>
      <c r="H38" s="63"/>
      <c r="I38" s="63"/>
      <c r="J38" s="63"/>
      <c r="K38" s="63"/>
      <c r="L38" s="63"/>
      <c r="M38" s="63"/>
      <c r="N38" s="63"/>
      <c r="O38" s="63"/>
      <c r="P38" s="58"/>
      <c r="Q38" s="58"/>
      <c r="R38" s="40"/>
      <c r="S38" s="40"/>
      <c r="T38" s="40"/>
      <c r="U38" s="40"/>
      <c r="V38" s="40"/>
      <c r="W38" s="40"/>
      <c r="X38" s="40"/>
    </row>
    <row r="39" spans="1:24">
      <c r="A39" s="40"/>
      <c r="B39" s="40"/>
      <c r="C39" s="40"/>
      <c r="D39" s="36" t="s">
        <v>123</v>
      </c>
      <c r="E39" s="56" t="s">
        <v>124</v>
      </c>
      <c r="F39" s="56" t="s">
        <v>124</v>
      </c>
      <c r="G39" s="56" t="s">
        <v>124</v>
      </c>
      <c r="H39" s="56" t="s">
        <v>124</v>
      </c>
      <c r="I39" s="56" t="s">
        <v>124</v>
      </c>
      <c r="J39" s="56" t="s">
        <v>124</v>
      </c>
      <c r="K39" s="56" t="s">
        <v>124</v>
      </c>
      <c r="L39" s="56" t="s">
        <v>124</v>
      </c>
      <c r="M39" s="56" t="s">
        <v>124</v>
      </c>
      <c r="N39" s="56" t="s">
        <v>124</v>
      </c>
      <c r="O39" s="64">
        <v>5899</v>
      </c>
      <c r="P39" s="56" t="s">
        <v>124</v>
      </c>
      <c r="Q39" s="56" t="s">
        <v>124</v>
      </c>
      <c r="R39" s="40"/>
      <c r="S39" s="40"/>
      <c r="T39" s="40"/>
      <c r="U39" s="40"/>
      <c r="V39" s="40"/>
      <c r="W39" s="40"/>
      <c r="X39" s="40"/>
    </row>
    <row r="40" spans="1:24">
      <c r="A40" s="40"/>
      <c r="B40" s="40"/>
      <c r="C40" s="40"/>
      <c r="D40" s="36" t="s">
        <v>125</v>
      </c>
      <c r="E40" s="56" t="s">
        <v>124</v>
      </c>
      <c r="F40" s="56" t="s">
        <v>124</v>
      </c>
      <c r="G40" s="56" t="s">
        <v>124</v>
      </c>
      <c r="H40" s="56" t="s">
        <v>124</v>
      </c>
      <c r="I40" s="56" t="s">
        <v>124</v>
      </c>
      <c r="J40" s="56" t="s">
        <v>124</v>
      </c>
      <c r="K40" s="56" t="s">
        <v>124</v>
      </c>
      <c r="L40" s="56" t="s">
        <v>124</v>
      </c>
      <c r="M40" s="63">
        <v>672</v>
      </c>
      <c r="N40" s="64">
        <v>1175</v>
      </c>
      <c r="O40" s="64" t="s">
        <v>124</v>
      </c>
      <c r="P40" s="64" t="s">
        <v>124</v>
      </c>
      <c r="Q40" s="64" t="s">
        <v>124</v>
      </c>
      <c r="R40" s="40"/>
      <c r="S40" s="40"/>
      <c r="T40" s="40"/>
      <c r="U40" s="40"/>
      <c r="V40" s="40"/>
      <c r="W40" s="40"/>
      <c r="X40" s="40"/>
    </row>
    <row r="41" spans="1:24" ht="29">
      <c r="A41" s="40"/>
      <c r="B41" s="40"/>
      <c r="C41" s="40"/>
      <c r="D41" s="46" t="s">
        <v>126</v>
      </c>
      <c r="E41" s="56" t="s">
        <v>124</v>
      </c>
      <c r="F41" s="56" t="s">
        <v>124</v>
      </c>
      <c r="G41" s="56" t="s">
        <v>124</v>
      </c>
      <c r="H41" s="56" t="s">
        <v>124</v>
      </c>
      <c r="I41" s="56" t="s">
        <v>124</v>
      </c>
      <c r="J41" s="56" t="s">
        <v>124</v>
      </c>
      <c r="K41" s="56" t="s">
        <v>124</v>
      </c>
      <c r="L41" s="56" t="s">
        <v>124</v>
      </c>
      <c r="M41" s="56" t="s">
        <v>124</v>
      </c>
      <c r="N41" s="64">
        <v>2039</v>
      </c>
      <c r="O41" s="64" t="s">
        <v>124</v>
      </c>
      <c r="P41" s="64" t="s">
        <v>124</v>
      </c>
      <c r="Q41" s="64" t="s">
        <v>124</v>
      </c>
      <c r="R41" s="40"/>
      <c r="S41" s="40"/>
      <c r="T41" s="40"/>
      <c r="U41" s="40"/>
      <c r="V41" s="40"/>
      <c r="W41" s="40"/>
      <c r="X41" s="40"/>
    </row>
    <row r="42" spans="1:24">
      <c r="A42" s="40"/>
      <c r="B42" s="40"/>
      <c r="C42" s="40"/>
      <c r="D42" s="46" t="s">
        <v>448</v>
      </c>
      <c r="E42" s="56"/>
      <c r="F42" s="56"/>
      <c r="G42" s="56"/>
      <c r="H42" s="56"/>
      <c r="I42" s="56"/>
      <c r="J42" s="56" t="s">
        <v>124</v>
      </c>
      <c r="K42" s="56" t="s">
        <v>124</v>
      </c>
      <c r="L42" s="56" t="s">
        <v>124</v>
      </c>
      <c r="M42" s="56" t="s">
        <v>124</v>
      </c>
      <c r="N42" s="56" t="s">
        <v>124</v>
      </c>
      <c r="O42" s="56" t="s">
        <v>124</v>
      </c>
      <c r="P42" s="56" t="s">
        <v>124</v>
      </c>
      <c r="Q42" s="64">
        <v>-1702</v>
      </c>
      <c r="R42" s="40"/>
      <c r="S42" s="40"/>
      <c r="T42" s="40"/>
      <c r="U42" s="40"/>
      <c r="V42" s="40"/>
      <c r="W42" s="40"/>
      <c r="X42" s="40"/>
    </row>
    <row r="43" spans="1:24">
      <c r="A43" s="40"/>
      <c r="B43" s="40"/>
      <c r="C43" s="40"/>
      <c r="D43" s="47" t="s">
        <v>127</v>
      </c>
      <c r="E43" s="56" t="s">
        <v>124</v>
      </c>
      <c r="F43" s="56" t="s">
        <v>124</v>
      </c>
      <c r="G43" s="56" t="s">
        <v>124</v>
      </c>
      <c r="H43" s="56" t="s">
        <v>124</v>
      </c>
      <c r="I43" s="56" t="s">
        <v>124</v>
      </c>
      <c r="J43" s="56" t="s">
        <v>124</v>
      </c>
      <c r="K43" s="56" t="s">
        <v>124</v>
      </c>
      <c r="L43" s="56" t="s">
        <v>124</v>
      </c>
      <c r="M43" s="208">
        <v>672</v>
      </c>
      <c r="N43" s="209">
        <v>3214</v>
      </c>
      <c r="O43" s="209">
        <f>+O39</f>
        <v>5899</v>
      </c>
      <c r="P43" s="56" t="s">
        <v>124</v>
      </c>
      <c r="Q43" s="56" t="s">
        <v>124</v>
      </c>
      <c r="R43" s="56"/>
      <c r="S43" s="56"/>
      <c r="T43" s="56"/>
      <c r="U43" s="56"/>
      <c r="V43" s="56"/>
      <c r="W43" s="56"/>
      <c r="X43" s="40"/>
    </row>
    <row r="44" spans="1:24">
      <c r="A44" s="40"/>
      <c r="B44" s="40"/>
      <c r="C44" s="40"/>
      <c r="D44" s="45" t="s">
        <v>128</v>
      </c>
      <c r="E44" s="63"/>
      <c r="F44" s="63"/>
      <c r="G44" s="63"/>
      <c r="H44" s="63"/>
      <c r="I44" s="63"/>
      <c r="J44" s="63"/>
      <c r="K44" s="63"/>
      <c r="L44" s="63"/>
      <c r="M44" s="63"/>
      <c r="N44" s="63"/>
      <c r="O44" s="63"/>
      <c r="P44" s="63"/>
      <c r="Q44" s="63"/>
      <c r="R44" s="40"/>
      <c r="S44" s="40"/>
      <c r="T44" s="40"/>
      <c r="U44" s="40"/>
      <c r="V44" s="40"/>
      <c r="W44" s="40"/>
      <c r="X44" s="40"/>
    </row>
    <row r="45" spans="1:24">
      <c r="A45" s="40"/>
      <c r="B45" s="40"/>
      <c r="C45" s="40"/>
      <c r="D45" s="46" t="s">
        <v>129</v>
      </c>
      <c r="E45" s="56" t="s">
        <v>124</v>
      </c>
      <c r="F45" s="56" t="s">
        <v>124</v>
      </c>
      <c r="G45" s="56" t="s">
        <v>124</v>
      </c>
      <c r="H45" s="56" t="s">
        <v>124</v>
      </c>
      <c r="I45" s="56" t="s">
        <v>124</v>
      </c>
      <c r="J45" s="56" t="s">
        <v>124</v>
      </c>
      <c r="K45" s="56" t="s">
        <v>124</v>
      </c>
      <c r="L45" s="56" t="s">
        <v>124</v>
      </c>
      <c r="M45" s="56" t="s">
        <v>124</v>
      </c>
      <c r="N45" s="56" t="s">
        <v>124</v>
      </c>
      <c r="O45" s="56" t="s">
        <v>124</v>
      </c>
      <c r="P45" s="63">
        <v>-624</v>
      </c>
      <c r="Q45" s="63" t="s">
        <v>124</v>
      </c>
      <c r="R45" s="40"/>
      <c r="S45" s="40"/>
      <c r="T45" s="40"/>
      <c r="U45" s="40"/>
      <c r="V45" s="40"/>
      <c r="W45" s="40"/>
      <c r="X45" s="40"/>
    </row>
    <row r="46" spans="1:24">
      <c r="A46" s="40"/>
      <c r="B46" s="40"/>
      <c r="C46" s="40"/>
      <c r="D46" s="46" t="s">
        <v>130</v>
      </c>
      <c r="E46" s="56" t="s">
        <v>124</v>
      </c>
      <c r="F46" s="56" t="s">
        <v>124</v>
      </c>
      <c r="G46" s="56" t="s">
        <v>124</v>
      </c>
      <c r="H46" s="56" t="s">
        <v>124</v>
      </c>
      <c r="I46" s="56" t="s">
        <v>124</v>
      </c>
      <c r="J46" s="56" t="s">
        <v>124</v>
      </c>
      <c r="K46" s="56" t="s">
        <v>124</v>
      </c>
      <c r="L46" s="56" t="s">
        <v>124</v>
      </c>
      <c r="M46" s="64">
        <v>1013</v>
      </c>
      <c r="N46" s="63">
        <v>66</v>
      </c>
      <c r="O46" s="63" t="s">
        <v>124</v>
      </c>
      <c r="P46" s="63" t="s">
        <v>124</v>
      </c>
      <c r="Q46" s="63" t="s">
        <v>124</v>
      </c>
      <c r="R46" s="40"/>
      <c r="S46" s="40"/>
      <c r="T46" s="40"/>
      <c r="U46" s="40"/>
      <c r="V46" s="40"/>
      <c r="W46" s="40"/>
      <c r="X46" s="40"/>
    </row>
    <row r="47" spans="1:24">
      <c r="A47" s="40"/>
      <c r="B47" s="40"/>
      <c r="C47" s="40"/>
      <c r="D47" s="48" t="s">
        <v>127</v>
      </c>
      <c r="E47" s="271" t="s">
        <v>124</v>
      </c>
      <c r="F47" s="271" t="s">
        <v>124</v>
      </c>
      <c r="G47" s="271" t="s">
        <v>124</v>
      </c>
      <c r="H47" s="271" t="s">
        <v>124</v>
      </c>
      <c r="I47" s="271" t="s">
        <v>124</v>
      </c>
      <c r="J47" s="271" t="s">
        <v>124</v>
      </c>
      <c r="K47" s="271" t="s">
        <v>124</v>
      </c>
      <c r="L47" s="271" t="s">
        <v>124</v>
      </c>
      <c r="M47" s="210">
        <v>1013</v>
      </c>
      <c r="N47" s="77">
        <v>66</v>
      </c>
      <c r="O47" s="77" t="s">
        <v>124</v>
      </c>
      <c r="P47" s="77" t="s">
        <v>124</v>
      </c>
      <c r="Q47" s="77" t="s">
        <v>124</v>
      </c>
      <c r="R47" s="40"/>
      <c r="S47" s="40"/>
      <c r="T47" s="40"/>
      <c r="U47" s="40"/>
      <c r="V47" s="40"/>
      <c r="W47" s="40"/>
      <c r="X47" s="40"/>
    </row>
    <row r="48" spans="1:24">
      <c r="A48" s="40"/>
      <c r="B48" s="40"/>
      <c r="C48" s="40"/>
      <c r="D48" s="49" t="s">
        <v>131</v>
      </c>
      <c r="E48" s="272" t="s">
        <v>124</v>
      </c>
      <c r="F48" s="272" t="s">
        <v>124</v>
      </c>
      <c r="G48" s="272" t="s">
        <v>124</v>
      </c>
      <c r="H48" s="272" t="s">
        <v>124</v>
      </c>
      <c r="I48" s="272" t="s">
        <v>124</v>
      </c>
      <c r="J48" s="272" t="s">
        <v>124</v>
      </c>
      <c r="K48" s="272" t="s">
        <v>124</v>
      </c>
      <c r="L48" s="56" t="s">
        <v>124</v>
      </c>
      <c r="M48" s="68">
        <v>1685</v>
      </c>
      <c r="N48" s="68">
        <v>3280</v>
      </c>
      <c r="O48" s="68">
        <v>5899</v>
      </c>
      <c r="P48" s="68">
        <v>-624</v>
      </c>
      <c r="Q48" s="56" t="s">
        <v>124</v>
      </c>
      <c r="R48" s="40"/>
      <c r="S48" s="40"/>
      <c r="T48" s="40"/>
      <c r="U48" s="40"/>
      <c r="V48" s="40"/>
      <c r="W48" s="40"/>
      <c r="X48" s="40"/>
    </row>
    <row r="49" spans="1:24">
      <c r="A49" s="40"/>
      <c r="B49" s="40"/>
      <c r="C49" s="40"/>
      <c r="D49" s="47" t="s">
        <v>13</v>
      </c>
      <c r="E49" s="70"/>
      <c r="F49" s="70"/>
      <c r="G49" s="66" t="s">
        <v>13</v>
      </c>
      <c r="H49" s="66" t="s">
        <v>13</v>
      </c>
      <c r="I49" s="66" t="s">
        <v>13</v>
      </c>
      <c r="J49" s="66" t="s">
        <v>13</v>
      </c>
      <c r="K49" s="66" t="s">
        <v>13</v>
      </c>
      <c r="L49" s="66" t="s">
        <v>13</v>
      </c>
      <c r="M49" s="63" t="s">
        <v>13</v>
      </c>
      <c r="N49" s="63" t="s">
        <v>13</v>
      </c>
      <c r="O49" s="66"/>
      <c r="P49" s="267"/>
      <c r="Q49" s="267"/>
      <c r="R49" s="40"/>
      <c r="S49" s="40"/>
      <c r="T49" s="40"/>
      <c r="U49" s="40"/>
      <c r="V49" s="40"/>
      <c r="W49" s="40"/>
      <c r="X49" s="40"/>
    </row>
    <row r="50" spans="1:24" ht="33.75" customHeight="1">
      <c r="A50" s="40"/>
      <c r="B50" s="40"/>
      <c r="C50" s="40"/>
      <c r="D50" s="50" t="s">
        <v>132</v>
      </c>
      <c r="E50" s="70"/>
      <c r="F50" s="70"/>
      <c r="G50" s="63"/>
      <c r="H50" s="63"/>
      <c r="I50" s="63"/>
      <c r="J50" s="63"/>
      <c r="K50" s="63"/>
      <c r="L50" s="63"/>
      <c r="M50" s="63"/>
      <c r="N50" s="63"/>
      <c r="O50" s="40"/>
      <c r="P50" s="254"/>
      <c r="Q50" s="254"/>
      <c r="R50" s="40"/>
      <c r="S50" s="40"/>
      <c r="T50" s="40"/>
      <c r="U50" s="40"/>
      <c r="V50" s="40"/>
      <c r="W50" s="40"/>
      <c r="X50" s="40"/>
    </row>
    <row r="51" spans="1:24" ht="60.75" customHeight="1">
      <c r="A51" s="40"/>
      <c r="B51" s="40"/>
      <c r="C51" s="40"/>
      <c r="D51" s="50" t="s">
        <v>133</v>
      </c>
      <c r="E51" s="70"/>
      <c r="F51" s="70"/>
      <c r="G51" s="63"/>
      <c r="H51" s="63"/>
      <c r="I51" s="63"/>
      <c r="J51" s="63"/>
      <c r="K51" s="63"/>
      <c r="L51" s="63"/>
      <c r="M51" s="63"/>
      <c r="N51" s="63"/>
      <c r="O51" s="40"/>
      <c r="P51" s="254"/>
      <c r="Q51" s="254"/>
      <c r="R51" s="40"/>
      <c r="S51" s="40"/>
      <c r="T51" s="40"/>
      <c r="U51" s="40"/>
      <c r="V51" s="40"/>
      <c r="W51" s="40"/>
      <c r="X51" s="40"/>
    </row>
    <row r="52" spans="1:24" ht="33.75" customHeight="1">
      <c r="A52" s="40"/>
      <c r="B52" s="40"/>
      <c r="C52" s="40"/>
      <c r="D52" s="50" t="s">
        <v>134</v>
      </c>
      <c r="E52" s="70"/>
      <c r="F52" s="70"/>
      <c r="G52" s="63"/>
      <c r="H52" s="63"/>
      <c r="I52" s="63"/>
      <c r="J52" s="63"/>
      <c r="K52" s="63"/>
      <c r="L52" s="63"/>
      <c r="M52" s="63"/>
      <c r="N52" s="63"/>
      <c r="O52" s="40"/>
      <c r="P52" s="254"/>
      <c r="Q52" s="254"/>
      <c r="R52" s="40"/>
      <c r="S52" s="40"/>
      <c r="T52" s="40"/>
      <c r="U52" s="40"/>
      <c r="V52" s="40"/>
      <c r="W52" s="40"/>
      <c r="X52" s="40"/>
    </row>
    <row r="53" spans="1:24" ht="45.75" customHeight="1">
      <c r="A53" s="40"/>
      <c r="B53" s="40"/>
      <c r="C53" s="40"/>
      <c r="D53" s="50" t="s">
        <v>135</v>
      </c>
      <c r="E53" s="70"/>
      <c r="F53" s="70"/>
      <c r="G53" s="63"/>
      <c r="H53" s="63"/>
      <c r="I53" s="63"/>
      <c r="J53" s="63"/>
      <c r="K53" s="63"/>
      <c r="L53" s="63"/>
      <c r="M53" s="63"/>
      <c r="N53" s="63"/>
      <c r="O53" s="40"/>
      <c r="P53" s="254"/>
      <c r="Q53" s="254"/>
      <c r="R53" s="40"/>
      <c r="S53" s="40"/>
      <c r="T53" s="40"/>
      <c r="U53" s="40"/>
      <c r="V53" s="40"/>
      <c r="W53" s="40"/>
      <c r="X53" s="40"/>
    </row>
    <row r="54" spans="1:24" ht="44.25" customHeight="1">
      <c r="A54" s="40"/>
      <c r="B54" s="40"/>
      <c r="C54" s="40"/>
      <c r="D54" s="50" t="s">
        <v>136</v>
      </c>
      <c r="E54" s="70"/>
      <c r="F54" s="70"/>
      <c r="G54" s="63"/>
      <c r="H54" s="63"/>
      <c r="I54" s="63"/>
      <c r="J54" s="63"/>
      <c r="K54" s="63"/>
      <c r="L54" s="63"/>
      <c r="M54" s="63"/>
      <c r="N54" s="63"/>
      <c r="O54" s="40"/>
      <c r="P54" s="254"/>
      <c r="Q54" s="254"/>
      <c r="R54" s="40"/>
      <c r="S54" s="40"/>
      <c r="T54" s="40"/>
      <c r="U54" s="40"/>
      <c r="V54" s="40"/>
      <c r="W54" s="40"/>
      <c r="X54" s="40"/>
    </row>
    <row r="55" spans="1:24" ht="75" customHeight="1">
      <c r="A55" s="40"/>
      <c r="B55" s="40"/>
      <c r="C55" s="40"/>
      <c r="D55" s="50" t="s">
        <v>137</v>
      </c>
      <c r="E55" s="70"/>
      <c r="F55" s="70"/>
      <c r="G55" s="63"/>
      <c r="H55" s="63"/>
      <c r="I55" s="63"/>
      <c r="J55" s="63"/>
      <c r="K55" s="63"/>
      <c r="L55" s="63"/>
      <c r="M55" s="63"/>
      <c r="N55" s="63"/>
      <c r="O55" s="40"/>
      <c r="P55" s="254"/>
      <c r="Q55" s="254"/>
      <c r="R55" s="40"/>
      <c r="S55" s="40"/>
      <c r="T55" s="40"/>
      <c r="U55" s="40"/>
      <c r="V55" s="40"/>
      <c r="W55" s="40"/>
      <c r="X55" s="40"/>
    </row>
    <row r="56" spans="1:24" ht="63" customHeight="1">
      <c r="A56" s="40"/>
      <c r="B56" s="40"/>
      <c r="C56" s="40"/>
      <c r="D56" s="50" t="s">
        <v>138</v>
      </c>
      <c r="E56" s="63"/>
      <c r="F56" s="63"/>
      <c r="G56" s="63"/>
      <c r="H56" s="63"/>
      <c r="I56" s="63"/>
      <c r="J56" s="63"/>
      <c r="K56" s="63"/>
      <c r="L56" s="63"/>
      <c r="M56" s="63"/>
      <c r="N56" s="63"/>
      <c r="O56" s="40"/>
      <c r="P56" s="254"/>
      <c r="Q56" s="254"/>
      <c r="R56" s="40"/>
      <c r="S56" s="40"/>
      <c r="T56" s="40"/>
      <c r="U56" s="40"/>
      <c r="V56" s="40"/>
      <c r="W56" s="40"/>
      <c r="X56" s="40"/>
    </row>
    <row r="57" spans="1:24" ht="149.25" customHeight="1">
      <c r="A57" s="40"/>
      <c r="B57" s="40"/>
      <c r="C57" s="40"/>
      <c r="D57" s="50" t="s">
        <v>139</v>
      </c>
      <c r="E57" s="63"/>
      <c r="F57" s="63"/>
      <c r="G57" s="63"/>
      <c r="H57" s="63"/>
      <c r="I57" s="63"/>
      <c r="J57" s="63"/>
      <c r="K57" s="63"/>
      <c r="L57" s="63"/>
      <c r="M57" s="63"/>
      <c r="N57" s="63"/>
      <c r="O57" s="40"/>
      <c r="P57" s="254"/>
      <c r="Q57" s="254"/>
      <c r="R57" s="40"/>
      <c r="S57" s="40"/>
      <c r="T57" s="40"/>
      <c r="U57" s="40"/>
      <c r="V57" s="40"/>
      <c r="W57" s="40"/>
      <c r="X57" s="40"/>
    </row>
    <row r="58" spans="1:24" ht="45.5">
      <c r="A58" s="40"/>
      <c r="B58" s="40"/>
      <c r="C58" s="40"/>
      <c r="D58" s="50" t="s">
        <v>140</v>
      </c>
      <c r="E58" s="63"/>
      <c r="F58" s="63"/>
      <c r="G58" s="63"/>
      <c r="H58" s="63"/>
      <c r="I58" s="63"/>
      <c r="J58" s="63"/>
      <c r="K58" s="63"/>
      <c r="L58" s="63"/>
      <c r="M58" s="63"/>
      <c r="N58" s="63"/>
      <c r="O58" s="40"/>
      <c r="P58" s="254"/>
      <c r="Q58" s="254"/>
      <c r="R58" s="40"/>
      <c r="S58" s="40"/>
      <c r="T58" s="40"/>
      <c r="U58" s="40"/>
      <c r="V58" s="40"/>
      <c r="W58" s="40"/>
      <c r="X58" s="40"/>
    </row>
    <row r="59" spans="1:24" ht="16.5">
      <c r="D59" s="50"/>
    </row>
    <row r="60" spans="1:24" ht="31">
      <c r="D60" s="105" t="s">
        <v>141</v>
      </c>
    </row>
  </sheetData>
  <pageMargins left="0.7" right="0.7" top="0.75" bottom="0.75" header="0.3" footer="0.3"/>
  <pageSetup paperSize="9"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A8BB-4BE3-44B9-A231-10F3C6A8ADE8}">
  <sheetPr>
    <pageSetUpPr fitToPage="1"/>
  </sheetPr>
  <dimension ref="A1:X50"/>
  <sheetViews>
    <sheetView showGridLines="0" zoomScaleNormal="100" workbookViewId="0">
      <pane xSplit="4" ySplit="9" topLeftCell="O53" activePane="bottomRight" state="frozen"/>
      <selection pane="topRight" activeCell="L13" sqref="L13"/>
      <selection pane="bottomLeft" activeCell="L13" sqref="L13"/>
      <selection pane="bottomRight" activeCell="D1" sqref="D1"/>
    </sheetView>
  </sheetViews>
  <sheetFormatPr defaultColWidth="8.7265625" defaultRowHeight="14.5"/>
  <cols>
    <col min="1" max="2" width="8.7265625" style="4"/>
    <col min="3" max="3" width="7.1796875" style="4" customWidth="1"/>
    <col min="4" max="4" width="44.26953125" style="4" customWidth="1"/>
    <col min="5" max="7" width="9" style="10" customWidth="1"/>
    <col min="8" max="12" width="8.7265625" style="10" customWidth="1"/>
    <col min="13" max="13" width="9" style="4" customWidth="1"/>
    <col min="14" max="14" width="7.453125" style="4" customWidth="1"/>
    <col min="15" max="15" width="8.54296875" style="4" customWidth="1"/>
    <col min="16" max="16" width="8" style="4" customWidth="1"/>
    <col min="17" max="17" width="7.453125" style="4" customWidth="1"/>
    <col min="18" max="24" width="7.453125" style="161" customWidth="1"/>
    <col min="25" max="16384" width="8.7265625" style="4"/>
  </cols>
  <sheetData>
    <row r="1" spans="1:24">
      <c r="A1" s="40"/>
      <c r="B1" s="40"/>
      <c r="C1" s="40"/>
      <c r="D1" s="41" t="s">
        <v>3</v>
      </c>
      <c r="E1" s="63"/>
      <c r="F1" s="63"/>
      <c r="G1" s="63"/>
      <c r="H1" s="63"/>
      <c r="I1" s="63"/>
      <c r="J1" s="63"/>
      <c r="K1" s="63"/>
      <c r="L1" s="63"/>
      <c r="M1" s="40"/>
      <c r="N1" s="40"/>
      <c r="Q1" s="40"/>
      <c r="R1" s="254"/>
      <c r="S1" s="254"/>
      <c r="T1" s="254"/>
      <c r="U1" s="254"/>
      <c r="V1" s="254"/>
      <c r="W1" s="254"/>
      <c r="X1" s="254"/>
    </row>
    <row r="2" spans="1:24">
      <c r="A2" s="40"/>
      <c r="B2" s="40"/>
      <c r="C2" s="40"/>
      <c r="D2" s="40"/>
      <c r="E2" s="63"/>
      <c r="F2" s="63"/>
      <c r="G2" s="63"/>
      <c r="H2" s="63"/>
      <c r="I2" s="63"/>
      <c r="J2" s="63"/>
      <c r="K2" s="63"/>
      <c r="L2" s="63"/>
      <c r="M2" s="40"/>
      <c r="N2" s="40"/>
      <c r="Q2" s="40"/>
      <c r="R2" s="254"/>
      <c r="S2" s="254"/>
      <c r="T2" s="254"/>
      <c r="U2" s="254"/>
      <c r="V2" s="254"/>
      <c r="W2" s="254"/>
      <c r="X2" s="254"/>
    </row>
    <row r="3" spans="1:24">
      <c r="A3" s="40"/>
      <c r="B3" s="40"/>
      <c r="C3" s="40"/>
      <c r="D3" s="40"/>
      <c r="E3" s="63"/>
      <c r="F3" s="63"/>
      <c r="G3" s="63"/>
      <c r="H3" s="63"/>
      <c r="I3" s="63"/>
      <c r="J3" s="63"/>
      <c r="K3" s="63"/>
      <c r="L3" s="63"/>
      <c r="M3" s="40"/>
      <c r="N3" s="40"/>
      <c r="Q3" s="40"/>
      <c r="R3" s="254"/>
      <c r="S3" s="254"/>
      <c r="T3" s="254"/>
      <c r="U3" s="254"/>
      <c r="V3" s="254"/>
      <c r="W3" s="254"/>
      <c r="X3" s="254"/>
    </row>
    <row r="4" spans="1:24">
      <c r="A4" s="40"/>
      <c r="B4" s="40"/>
      <c r="C4" s="40"/>
      <c r="D4" s="40"/>
      <c r="E4" s="63"/>
      <c r="F4" s="63"/>
      <c r="G4" s="63"/>
      <c r="H4" s="63"/>
      <c r="I4" s="63"/>
      <c r="J4" s="74"/>
      <c r="K4" s="63"/>
      <c r="L4" s="63"/>
      <c r="M4" s="40"/>
      <c r="N4" s="40"/>
      <c r="Q4" s="40"/>
      <c r="R4" s="254"/>
      <c r="S4" s="254"/>
      <c r="T4" s="254"/>
      <c r="U4" s="254"/>
      <c r="V4" s="254"/>
      <c r="W4" s="254"/>
      <c r="X4" s="254"/>
    </row>
    <row r="5" spans="1:24">
      <c r="A5" s="40"/>
      <c r="B5" s="40"/>
      <c r="C5" s="40"/>
      <c r="D5" s="40"/>
      <c r="E5" s="63"/>
      <c r="F5" s="63"/>
      <c r="G5" s="63"/>
      <c r="H5" s="63"/>
      <c r="I5" s="63"/>
      <c r="J5" s="63"/>
      <c r="K5" s="63"/>
      <c r="L5" s="63"/>
      <c r="M5" s="40"/>
      <c r="N5" s="40"/>
      <c r="Q5" s="40"/>
      <c r="R5" s="254"/>
      <c r="S5" s="254"/>
      <c r="T5" s="254"/>
      <c r="U5" s="254"/>
      <c r="V5" s="254"/>
      <c r="W5" s="254"/>
      <c r="X5" s="254"/>
    </row>
    <row r="6" spans="1:24">
      <c r="A6" s="40"/>
      <c r="B6" s="40"/>
      <c r="C6" s="40"/>
      <c r="D6" s="40"/>
      <c r="E6" s="63"/>
      <c r="F6" s="63"/>
      <c r="G6" s="63"/>
      <c r="H6" s="63"/>
      <c r="I6" s="63"/>
      <c r="J6" s="63"/>
      <c r="K6" s="63"/>
      <c r="L6" s="63"/>
      <c r="M6" s="40"/>
      <c r="N6" s="40"/>
      <c r="Q6" s="40"/>
      <c r="R6" s="254"/>
      <c r="S6" s="254"/>
      <c r="T6" s="254"/>
      <c r="U6" s="254"/>
      <c r="V6" s="254"/>
      <c r="W6" s="254"/>
      <c r="X6" s="254"/>
    </row>
    <row r="7" spans="1:24">
      <c r="A7" s="40"/>
      <c r="B7" s="40"/>
      <c r="C7" s="40"/>
      <c r="D7" s="40"/>
      <c r="E7" s="63"/>
      <c r="F7" s="63"/>
      <c r="G7" s="63"/>
      <c r="H7" s="63"/>
      <c r="I7" s="63"/>
      <c r="J7" s="63"/>
      <c r="K7" s="63"/>
      <c r="L7" s="63"/>
      <c r="M7" s="40"/>
      <c r="Q7" s="40"/>
      <c r="R7" s="254"/>
      <c r="S7" s="254"/>
      <c r="T7" s="254"/>
      <c r="U7" s="254"/>
      <c r="V7" s="254"/>
      <c r="W7" s="254"/>
      <c r="X7" s="254"/>
    </row>
    <row r="8" spans="1:24">
      <c r="A8" s="40"/>
      <c r="B8" s="40"/>
      <c r="C8" s="40"/>
      <c r="D8" s="40"/>
      <c r="E8" s="63"/>
      <c r="F8" s="63"/>
      <c r="G8" s="63"/>
      <c r="H8" s="63"/>
      <c r="I8" s="63"/>
      <c r="J8" s="63"/>
      <c r="K8" s="63"/>
      <c r="L8" s="63"/>
      <c r="M8" s="40"/>
      <c r="Q8" s="40"/>
      <c r="R8" s="254"/>
      <c r="S8" s="254"/>
      <c r="T8" s="254"/>
      <c r="U8" s="254"/>
      <c r="V8" s="254"/>
      <c r="W8" s="254"/>
      <c r="X8" s="254"/>
    </row>
    <row r="9" spans="1:24" ht="31.5" thickBot="1">
      <c r="A9" s="40"/>
      <c r="B9" s="40"/>
      <c r="C9" s="40"/>
      <c r="D9" s="42" t="s">
        <v>13</v>
      </c>
      <c r="E9" s="61" t="s">
        <v>142</v>
      </c>
      <c r="F9" s="61" t="s">
        <v>143</v>
      </c>
      <c r="G9" s="60" t="s">
        <v>144</v>
      </c>
      <c r="H9" s="60" t="s">
        <v>145</v>
      </c>
      <c r="I9" s="25" t="s">
        <v>146</v>
      </c>
      <c r="J9" s="25" t="s">
        <v>147</v>
      </c>
      <c r="K9" s="25" t="s">
        <v>148</v>
      </c>
      <c r="L9" s="25" t="s">
        <v>149</v>
      </c>
      <c r="M9" s="25" t="s">
        <v>150</v>
      </c>
      <c r="N9" s="25" t="s">
        <v>151</v>
      </c>
      <c r="O9" s="25" t="s">
        <v>152</v>
      </c>
      <c r="P9" s="25" t="s">
        <v>153</v>
      </c>
      <c r="Q9" s="25" t="s">
        <v>154</v>
      </c>
      <c r="R9" s="25" t="s">
        <v>155</v>
      </c>
      <c r="S9" s="25" t="s">
        <v>156</v>
      </c>
      <c r="T9" s="25" t="s">
        <v>157</v>
      </c>
      <c r="U9" s="25" t="s">
        <v>158</v>
      </c>
      <c r="V9" s="25" t="s">
        <v>159</v>
      </c>
      <c r="W9" s="25" t="s">
        <v>160</v>
      </c>
      <c r="X9" s="25" t="s">
        <v>449</v>
      </c>
    </row>
    <row r="10" spans="1:24">
      <c r="A10" s="40"/>
      <c r="B10" s="40"/>
      <c r="C10" s="40"/>
      <c r="D10" s="41" t="s">
        <v>84</v>
      </c>
      <c r="E10" s="64">
        <v>131889</v>
      </c>
      <c r="F10" s="65">
        <v>138073</v>
      </c>
      <c r="G10" s="64">
        <v>181166</v>
      </c>
      <c r="H10" s="64">
        <v>210585</v>
      </c>
      <c r="I10" s="65">
        <v>185698</v>
      </c>
      <c r="J10" s="65">
        <v>195059</v>
      </c>
      <c r="K10" s="64">
        <v>149892</v>
      </c>
      <c r="L10" s="64">
        <v>168044</v>
      </c>
      <c r="M10" s="5">
        <v>148295</v>
      </c>
      <c r="N10" s="5">
        <v>143006</v>
      </c>
      <c r="O10" s="5">
        <v>137686</v>
      </c>
      <c r="P10" s="5">
        <v>186134</v>
      </c>
      <c r="Q10" s="5">
        <v>162938</v>
      </c>
      <c r="R10" s="5">
        <v>178753</v>
      </c>
      <c r="S10" s="5">
        <v>167467</v>
      </c>
      <c r="T10" s="5">
        <v>199558</v>
      </c>
      <c r="U10" s="5">
        <v>182687</v>
      </c>
      <c r="V10" s="5">
        <v>205386</v>
      </c>
      <c r="W10" s="5">
        <v>172849</v>
      </c>
      <c r="X10" s="5">
        <v>202467</v>
      </c>
    </row>
    <row r="11" spans="1:24">
      <c r="A11" s="40"/>
      <c r="B11" s="40"/>
      <c r="C11" s="40"/>
      <c r="D11" s="41" t="s">
        <v>85</v>
      </c>
      <c r="E11" s="64">
        <v>56517</v>
      </c>
      <c r="F11" s="65">
        <v>55242</v>
      </c>
      <c r="G11" s="64">
        <v>65763</v>
      </c>
      <c r="H11" s="64">
        <v>85311</v>
      </c>
      <c r="I11" s="65">
        <v>68593</v>
      </c>
      <c r="J11" s="65">
        <v>72538</v>
      </c>
      <c r="K11" s="64">
        <v>60838</v>
      </c>
      <c r="L11" s="64">
        <v>80076</v>
      </c>
      <c r="M11" s="5">
        <v>74269</v>
      </c>
      <c r="N11" s="5">
        <v>71300</v>
      </c>
      <c r="O11" s="5">
        <v>79329</v>
      </c>
      <c r="P11" s="5">
        <v>105247</v>
      </c>
      <c r="Q11" s="5">
        <v>95705</v>
      </c>
      <c r="R11" s="5">
        <v>102152</v>
      </c>
      <c r="S11" s="5">
        <v>92045</v>
      </c>
      <c r="T11" s="5">
        <v>109441</v>
      </c>
      <c r="U11" s="5">
        <v>93878</v>
      </c>
      <c r="V11" s="5">
        <v>101454</v>
      </c>
      <c r="W11" s="5">
        <v>92783</v>
      </c>
      <c r="X11" s="5">
        <v>112119</v>
      </c>
    </row>
    <row r="12" spans="1:24" ht="16.5">
      <c r="A12" s="40"/>
      <c r="B12" s="40"/>
      <c r="C12" s="40"/>
      <c r="D12" s="41" t="s">
        <v>161</v>
      </c>
      <c r="E12" s="64" t="s">
        <v>87</v>
      </c>
      <c r="F12" s="64" t="s">
        <v>87</v>
      </c>
      <c r="G12" s="64" t="s">
        <v>87</v>
      </c>
      <c r="H12" s="64" t="s">
        <v>87</v>
      </c>
      <c r="I12" s="64" t="s">
        <v>87</v>
      </c>
      <c r="J12" s="64" t="s">
        <v>87</v>
      </c>
      <c r="K12" s="64" t="s">
        <v>87</v>
      </c>
      <c r="L12" s="64" t="s">
        <v>87</v>
      </c>
      <c r="M12" s="5">
        <v>435895</v>
      </c>
      <c r="N12" s="5">
        <v>469086</v>
      </c>
      <c r="O12" s="5">
        <v>427436</v>
      </c>
      <c r="P12" s="5">
        <v>457510</v>
      </c>
      <c r="Q12" s="5">
        <v>456337</v>
      </c>
      <c r="R12" s="5">
        <v>430275</v>
      </c>
      <c r="S12" s="5">
        <v>494217</v>
      </c>
      <c r="T12" s="5">
        <v>463892</v>
      </c>
      <c r="U12" s="5">
        <v>416027</v>
      </c>
      <c r="V12" s="5">
        <v>407654</v>
      </c>
      <c r="W12" s="98" t="s">
        <v>87</v>
      </c>
      <c r="X12" s="98" t="s">
        <v>87</v>
      </c>
    </row>
    <row r="13" spans="1:24" ht="16.5">
      <c r="A13" s="40"/>
      <c r="B13" s="40"/>
      <c r="C13" s="40"/>
      <c r="D13" s="41" t="s">
        <v>162</v>
      </c>
      <c r="E13" s="64" t="s">
        <v>87</v>
      </c>
      <c r="F13" s="64" t="s">
        <v>87</v>
      </c>
      <c r="G13" s="64" t="s">
        <v>87</v>
      </c>
      <c r="H13" s="64" t="s">
        <v>87</v>
      </c>
      <c r="I13" s="64" t="s">
        <v>87</v>
      </c>
      <c r="J13" s="64" t="s">
        <v>87</v>
      </c>
      <c r="K13" s="64" t="s">
        <v>87</v>
      </c>
      <c r="L13" s="64" t="s">
        <v>87</v>
      </c>
      <c r="M13" s="5">
        <v>385743</v>
      </c>
      <c r="N13" s="5">
        <v>417393</v>
      </c>
      <c r="O13" s="5">
        <v>421234</v>
      </c>
      <c r="P13" s="5">
        <v>434401</v>
      </c>
      <c r="Q13" s="5">
        <v>446872</v>
      </c>
      <c r="R13" s="5">
        <v>416904</v>
      </c>
      <c r="S13" s="5">
        <v>432857</v>
      </c>
      <c r="T13" s="5">
        <v>440732</v>
      </c>
      <c r="U13" s="5">
        <v>428061</v>
      </c>
      <c r="V13" s="5">
        <v>442823</v>
      </c>
      <c r="W13" s="98" t="s">
        <v>87</v>
      </c>
      <c r="X13" s="98" t="s">
        <v>87</v>
      </c>
    </row>
    <row r="14" spans="1:24">
      <c r="A14" s="40"/>
      <c r="B14" s="40"/>
      <c r="C14" s="40"/>
      <c r="D14" s="41" t="s">
        <v>89</v>
      </c>
      <c r="E14" s="64">
        <v>-2706</v>
      </c>
      <c r="F14" s="65">
        <v>-3272</v>
      </c>
      <c r="G14" s="64">
        <v>-3299</v>
      </c>
      <c r="H14" s="64">
        <v>-2085</v>
      </c>
      <c r="I14" s="64">
        <v>-3418</v>
      </c>
      <c r="J14" s="64">
        <v>-3515</v>
      </c>
      <c r="K14" s="64">
        <v>-2599</v>
      </c>
      <c r="L14" s="64">
        <v>-3182</v>
      </c>
      <c r="M14" s="5">
        <v>-3230</v>
      </c>
      <c r="N14" s="5">
        <v>-2918</v>
      </c>
      <c r="O14" s="5">
        <v>-2817</v>
      </c>
      <c r="P14" s="5">
        <v>-2549</v>
      </c>
      <c r="Q14" s="5">
        <v>-2878</v>
      </c>
      <c r="R14" s="5">
        <v>-3383</v>
      </c>
      <c r="S14" s="5">
        <v>-2909</v>
      </c>
      <c r="T14" s="5">
        <v>-3714</v>
      </c>
      <c r="U14" s="5">
        <v>-3827</v>
      </c>
      <c r="V14" s="5">
        <v>-4725</v>
      </c>
      <c r="W14" s="5">
        <v>-3403</v>
      </c>
      <c r="X14" s="5">
        <v>-5028</v>
      </c>
    </row>
    <row r="15" spans="1:24">
      <c r="A15" s="40"/>
      <c r="B15" s="40"/>
      <c r="C15" s="40"/>
      <c r="D15" s="41" t="s">
        <v>90</v>
      </c>
      <c r="E15" s="63">
        <v>639</v>
      </c>
      <c r="F15" s="65">
        <v>-1628</v>
      </c>
      <c r="G15" s="64">
        <v>4181</v>
      </c>
      <c r="H15" s="64">
        <v>4844</v>
      </c>
      <c r="I15" s="65">
        <v>8423</v>
      </c>
      <c r="J15" s="65">
        <v>4815</v>
      </c>
      <c r="K15" s="64">
        <v>3329</v>
      </c>
      <c r="L15" s="64">
        <v>3708</v>
      </c>
      <c r="M15" s="5">
        <v>6038</v>
      </c>
      <c r="N15" s="5">
        <v>10801</v>
      </c>
      <c r="O15" s="5">
        <v>2050</v>
      </c>
      <c r="P15" s="5">
        <v>3443</v>
      </c>
      <c r="Q15" s="5">
        <v>5100</v>
      </c>
      <c r="R15" s="5">
        <v>4993</v>
      </c>
      <c r="S15" s="5">
        <v>4458</v>
      </c>
      <c r="T15" s="5">
        <v>5388</v>
      </c>
      <c r="U15" s="5">
        <v>4706</v>
      </c>
      <c r="V15" s="5">
        <v>7969</v>
      </c>
      <c r="W15" s="5">
        <v>5790</v>
      </c>
      <c r="X15" s="5">
        <v>3853</v>
      </c>
    </row>
    <row r="16" spans="1:24">
      <c r="A16" s="40"/>
      <c r="B16" s="40"/>
      <c r="C16" s="40"/>
      <c r="D16" s="41" t="s">
        <v>163</v>
      </c>
      <c r="E16" s="64">
        <v>1077</v>
      </c>
      <c r="F16" s="64">
        <v>-1278</v>
      </c>
      <c r="G16" s="64">
        <f>4146-387</f>
        <v>3759</v>
      </c>
      <c r="H16" s="64">
        <v>4830</v>
      </c>
      <c r="I16" s="64">
        <v>5528</v>
      </c>
      <c r="J16" s="64">
        <v>5714</v>
      </c>
      <c r="K16" s="64">
        <v>4316</v>
      </c>
      <c r="L16" s="64">
        <v>5668</v>
      </c>
      <c r="M16" s="5">
        <v>5877</v>
      </c>
      <c r="N16" s="5">
        <v>4612</v>
      </c>
      <c r="O16" s="5">
        <v>3513</v>
      </c>
      <c r="P16" s="5">
        <v>3887</v>
      </c>
      <c r="Q16" s="5">
        <v>6315</v>
      </c>
      <c r="R16" s="5">
        <v>6427</v>
      </c>
      <c r="S16" s="5">
        <v>6148</v>
      </c>
      <c r="T16" s="5">
        <v>6677</v>
      </c>
      <c r="U16" s="5">
        <v>6795</v>
      </c>
      <c r="V16" s="5">
        <v>8216</v>
      </c>
      <c r="W16" s="5">
        <v>5710</v>
      </c>
      <c r="X16" s="5">
        <v>6319</v>
      </c>
    </row>
    <row r="17" spans="1:24">
      <c r="A17" s="40"/>
      <c r="B17" s="40"/>
      <c r="C17" s="40"/>
      <c r="D17" s="41" t="s">
        <v>92</v>
      </c>
      <c r="E17" s="63">
        <v>596</v>
      </c>
      <c r="F17" s="65">
        <v>-1767</v>
      </c>
      <c r="G17" s="64">
        <v>2933</v>
      </c>
      <c r="H17" s="64">
        <v>5546</v>
      </c>
      <c r="I17" s="65">
        <v>6463</v>
      </c>
      <c r="J17" s="65">
        <v>3164</v>
      </c>
      <c r="K17" s="64">
        <v>2292</v>
      </c>
      <c r="L17" s="64">
        <v>2258</v>
      </c>
      <c r="M17" s="5">
        <v>4503</v>
      </c>
      <c r="N17" s="5">
        <v>8978</v>
      </c>
      <c r="O17" s="5">
        <v>665</v>
      </c>
      <c r="P17" s="5">
        <v>2857</v>
      </c>
      <c r="Q17" s="5">
        <v>3975</v>
      </c>
      <c r="R17" s="5">
        <v>3540</v>
      </c>
      <c r="S17" s="5">
        <v>3219</v>
      </c>
      <c r="T17" s="5">
        <v>3332</v>
      </c>
      <c r="U17" s="5">
        <v>3587</v>
      </c>
      <c r="V17" s="5">
        <v>5654</v>
      </c>
      <c r="W17" s="5">
        <v>4356</v>
      </c>
      <c r="X17" s="5">
        <v>2337</v>
      </c>
    </row>
    <row r="18" spans="1:24">
      <c r="A18" s="40"/>
      <c r="B18" s="40"/>
      <c r="C18" s="40"/>
      <c r="D18" s="41" t="s">
        <v>93</v>
      </c>
      <c r="E18" s="63">
        <v>0.22</v>
      </c>
      <c r="F18" s="63">
        <v>-0.94</v>
      </c>
      <c r="G18" s="63">
        <v>1.01</v>
      </c>
      <c r="H18" s="221">
        <v>1.9</v>
      </c>
      <c r="I18" s="63">
        <v>2.2799999999999998</v>
      </c>
      <c r="J18" s="63">
        <v>0.99</v>
      </c>
      <c r="K18" s="63">
        <v>0.86</v>
      </c>
      <c r="L18" s="63">
        <v>0.66</v>
      </c>
      <c r="M18" s="12">
        <v>1.29</v>
      </c>
      <c r="N18" s="12">
        <v>3</v>
      </c>
      <c r="O18" s="12">
        <v>0.11</v>
      </c>
      <c r="P18" s="12">
        <v>0.82</v>
      </c>
      <c r="Q18" s="12">
        <v>1.21</v>
      </c>
      <c r="R18" s="12">
        <v>1.1200000000000001</v>
      </c>
      <c r="S18" s="12">
        <v>1.0072078022227051</v>
      </c>
      <c r="T18" s="12">
        <v>1.04</v>
      </c>
      <c r="U18" s="12">
        <v>1.1216556064739356</v>
      </c>
      <c r="V18" s="12">
        <v>1.79</v>
      </c>
      <c r="W18" s="12">
        <v>1.41</v>
      </c>
      <c r="X18" s="12">
        <v>0.84166551687341629</v>
      </c>
    </row>
    <row r="19" spans="1:24">
      <c r="A19" s="40"/>
      <c r="B19" s="40"/>
      <c r="C19" s="40"/>
      <c r="D19" s="41" t="s">
        <v>95</v>
      </c>
      <c r="E19" s="64">
        <v>4492</v>
      </c>
      <c r="F19" s="65">
        <v>2327</v>
      </c>
      <c r="G19" s="64">
        <f>3649+4181</f>
        <v>7830</v>
      </c>
      <c r="H19" s="64">
        <f>+'Cash Flow'!V11+'Cash Flow'!V12</f>
        <v>7929</v>
      </c>
      <c r="I19" s="64">
        <v>12557</v>
      </c>
      <c r="J19" s="64">
        <v>8361</v>
      </c>
      <c r="K19" s="64">
        <v>6937</v>
      </c>
      <c r="L19" s="64">
        <v>7425</v>
      </c>
      <c r="M19" s="5">
        <v>10023</v>
      </c>
      <c r="N19" s="5">
        <v>14821</v>
      </c>
      <c r="O19" s="5">
        <v>6055</v>
      </c>
      <c r="P19" s="5">
        <v>7524</v>
      </c>
      <c r="Q19" s="5">
        <v>9229</v>
      </c>
      <c r="R19" s="5">
        <v>9198</v>
      </c>
      <c r="S19" s="5">
        <v>8651</v>
      </c>
      <c r="T19" s="5">
        <v>10310</v>
      </c>
      <c r="U19" s="5">
        <v>10124</v>
      </c>
      <c r="V19" s="5">
        <v>13944</v>
      </c>
      <c r="W19" s="5">
        <v>10369</v>
      </c>
      <c r="X19" s="5">
        <v>10611</v>
      </c>
    </row>
    <row r="20" spans="1:24" ht="16.5">
      <c r="A20" s="40"/>
      <c r="B20" s="40"/>
      <c r="C20" s="40"/>
      <c r="D20" s="41" t="s">
        <v>164</v>
      </c>
      <c r="E20" s="64" t="s">
        <v>87</v>
      </c>
      <c r="F20" s="64" t="s">
        <v>87</v>
      </c>
      <c r="G20" s="64" t="s">
        <v>87</v>
      </c>
      <c r="H20" s="64" t="s">
        <v>87</v>
      </c>
      <c r="I20" s="64" t="s">
        <v>87</v>
      </c>
      <c r="J20" s="64" t="s">
        <v>87</v>
      </c>
      <c r="K20" s="64" t="s">
        <v>87</v>
      </c>
      <c r="L20" s="64" t="s">
        <v>87</v>
      </c>
      <c r="M20" s="5">
        <v>58950</v>
      </c>
      <c r="N20" s="5">
        <v>70660</v>
      </c>
      <c r="O20" s="5">
        <v>21104</v>
      </c>
      <c r="P20" s="5">
        <v>29102</v>
      </c>
      <c r="Q20" s="5">
        <v>33948</v>
      </c>
      <c r="R20" s="5">
        <v>11084</v>
      </c>
      <c r="S20" s="5">
        <v>46408</v>
      </c>
      <c r="T20" s="5">
        <v>62347</v>
      </c>
      <c r="U20" s="5">
        <v>67083</v>
      </c>
      <c r="V20" s="5">
        <v>81523</v>
      </c>
      <c r="W20" s="98" t="s">
        <v>87</v>
      </c>
      <c r="X20" s="98" t="s">
        <v>87</v>
      </c>
    </row>
    <row r="21" spans="1:24" ht="16.5">
      <c r="A21" s="40"/>
      <c r="B21" s="40"/>
      <c r="C21" s="40"/>
      <c r="D21" s="41" t="s">
        <v>165</v>
      </c>
      <c r="E21" s="64" t="s">
        <v>87</v>
      </c>
      <c r="F21" s="64" t="s">
        <v>87</v>
      </c>
      <c r="G21" s="64" t="s">
        <v>87</v>
      </c>
      <c r="H21" s="64" t="s">
        <v>87</v>
      </c>
      <c r="I21" s="64" t="s">
        <v>87</v>
      </c>
      <c r="J21" s="64" t="s">
        <v>87</v>
      </c>
      <c r="K21" s="64" t="s">
        <v>87</v>
      </c>
      <c r="L21" s="64" t="s">
        <v>87</v>
      </c>
      <c r="M21" s="5">
        <v>81500</v>
      </c>
      <c r="N21" s="5">
        <v>93357</v>
      </c>
      <c r="O21" s="5">
        <v>83223</v>
      </c>
      <c r="P21" s="5">
        <v>96369</v>
      </c>
      <c r="Q21" s="5">
        <v>104190</v>
      </c>
      <c r="R21" s="5">
        <v>89158</v>
      </c>
      <c r="S21" s="5">
        <v>96865</v>
      </c>
      <c r="T21" s="5">
        <v>115162</v>
      </c>
      <c r="U21" s="5">
        <v>107011</v>
      </c>
      <c r="V21" s="5">
        <v>101816</v>
      </c>
      <c r="W21" s="98" t="s">
        <v>87</v>
      </c>
      <c r="X21" s="98" t="s">
        <v>87</v>
      </c>
    </row>
    <row r="22" spans="1:24">
      <c r="A22" s="40"/>
      <c r="B22" s="40"/>
      <c r="C22" s="40"/>
      <c r="D22" s="41" t="s">
        <v>98</v>
      </c>
      <c r="E22" s="64">
        <v>-9880</v>
      </c>
      <c r="F22" s="65">
        <v>6407</v>
      </c>
      <c r="G22" s="64">
        <f>+'Cash Flow'!U30</f>
        <v>16394</v>
      </c>
      <c r="H22" s="64">
        <f>+'Cash Flow'!V30</f>
        <v>21962</v>
      </c>
      <c r="I22" s="65">
        <v>-4188</v>
      </c>
      <c r="J22" s="65">
        <v>6521</v>
      </c>
      <c r="K22" s="64">
        <v>-1886</v>
      </c>
      <c r="L22" s="64">
        <v>29405</v>
      </c>
      <c r="M22" s="5">
        <v>-4239</v>
      </c>
      <c r="N22" s="5">
        <v>7371</v>
      </c>
      <c r="O22" s="5">
        <v>13400</v>
      </c>
      <c r="P22" s="5">
        <v>16961</v>
      </c>
      <c r="Q22" s="5">
        <v>-2380</v>
      </c>
      <c r="R22" s="5">
        <v>16983</v>
      </c>
      <c r="S22" s="1">
        <v>10124</v>
      </c>
      <c r="T22" s="5">
        <v>18140</v>
      </c>
      <c r="U22" s="5">
        <v>-937</v>
      </c>
      <c r="V22" s="5">
        <v>12779</v>
      </c>
      <c r="W22" s="5">
        <v>9212</v>
      </c>
      <c r="X22" s="5">
        <v>26318</v>
      </c>
    </row>
    <row r="23" spans="1:24">
      <c r="A23" s="40"/>
      <c r="B23" s="40"/>
      <c r="C23" s="40"/>
      <c r="D23" s="41" t="s">
        <v>99</v>
      </c>
      <c r="E23" s="64">
        <v>-5514</v>
      </c>
      <c r="F23" s="65">
        <v>-3816</v>
      </c>
      <c r="G23" s="64">
        <f>+'Cash Flow'!U45</f>
        <v>-6246.3289999999997</v>
      </c>
      <c r="H23" s="64">
        <f>+'Cash Flow'!V45</f>
        <v>-6024.6710000000003</v>
      </c>
      <c r="I23" s="65">
        <v>-2702</v>
      </c>
      <c r="J23" s="65">
        <v>-6530</v>
      </c>
      <c r="K23" s="64">
        <v>-7341</v>
      </c>
      <c r="L23" s="64">
        <v>-18164</v>
      </c>
      <c r="M23" s="5">
        <v>-8033</v>
      </c>
      <c r="N23" s="5">
        <v>-12971</v>
      </c>
      <c r="O23" s="5">
        <v>-10163</v>
      </c>
      <c r="P23" s="5">
        <v>-8385</v>
      </c>
      <c r="Q23" s="5">
        <v>-15069</v>
      </c>
      <c r="R23" s="5">
        <v>16299</v>
      </c>
      <c r="S23" s="1">
        <v>-8395</v>
      </c>
      <c r="T23" s="5">
        <v>-12079</v>
      </c>
      <c r="U23" s="5">
        <v>-11264</v>
      </c>
      <c r="V23" s="5">
        <v>-12660</v>
      </c>
      <c r="W23" s="5">
        <v>-9613</v>
      </c>
      <c r="X23" s="5">
        <v>-12708</v>
      </c>
    </row>
    <row r="24" spans="1:24">
      <c r="A24" s="40"/>
      <c r="B24" s="40"/>
      <c r="C24" s="40"/>
      <c r="D24" s="41" t="s">
        <v>101</v>
      </c>
      <c r="E24" s="63">
        <v>17.3</v>
      </c>
      <c r="F24" s="66">
        <v>13.6</v>
      </c>
      <c r="G24" s="63">
        <v>19.5</v>
      </c>
      <c r="H24" s="63">
        <v>18.5</v>
      </c>
      <c r="I24" s="66">
        <v>20.6</v>
      </c>
      <c r="J24" s="66">
        <v>22.3</v>
      </c>
      <c r="K24" s="63">
        <v>22.7</v>
      </c>
      <c r="L24" s="63">
        <v>20.8</v>
      </c>
      <c r="M24" s="92">
        <v>21.2</v>
      </c>
      <c r="N24" s="92">
        <v>19.8</v>
      </c>
      <c r="O24" s="92">
        <v>17.3</v>
      </c>
      <c r="P24" s="92">
        <v>16</v>
      </c>
      <c r="Q24" s="92">
        <v>17.899999999999999</v>
      </c>
      <c r="R24" s="92">
        <v>19</v>
      </c>
      <c r="S24" s="92">
        <v>19.600000000000001</v>
      </c>
      <c r="T24" s="92">
        <v>20.9</v>
      </c>
      <c r="U24" s="92">
        <v>19.3</v>
      </c>
      <c r="V24" s="92">
        <v>22.8</v>
      </c>
      <c r="W24" s="92">
        <v>20.5</v>
      </c>
      <c r="X24" s="92">
        <v>17.100000000000001</v>
      </c>
    </row>
    <row r="25" spans="1:24" ht="16.5">
      <c r="A25" s="40"/>
      <c r="B25" s="40"/>
      <c r="C25" s="40"/>
      <c r="D25" s="41" t="s">
        <v>166</v>
      </c>
      <c r="E25" s="64" t="s">
        <v>87</v>
      </c>
      <c r="F25" s="64" t="s">
        <v>87</v>
      </c>
      <c r="G25" s="64" t="s">
        <v>87</v>
      </c>
      <c r="H25" s="64" t="s">
        <v>87</v>
      </c>
      <c r="I25" s="64" t="s">
        <v>87</v>
      </c>
      <c r="J25" s="64" t="s">
        <v>87</v>
      </c>
      <c r="K25" s="64" t="s">
        <v>87</v>
      </c>
      <c r="L25" s="64" t="s">
        <v>87</v>
      </c>
      <c r="M25" s="92">
        <v>13.5</v>
      </c>
      <c r="N25" s="92">
        <v>15.1</v>
      </c>
      <c r="O25" s="92">
        <v>4.9000000000000004</v>
      </c>
      <c r="P25" s="92">
        <v>6.4</v>
      </c>
      <c r="Q25" s="92">
        <v>7.4</v>
      </c>
      <c r="R25" s="92">
        <v>2.6</v>
      </c>
      <c r="S25" s="92">
        <v>9.4</v>
      </c>
      <c r="T25" s="92">
        <v>13.4</v>
      </c>
      <c r="U25" s="92">
        <v>16.100000000000001</v>
      </c>
      <c r="V25" s="92">
        <v>20</v>
      </c>
      <c r="W25" s="98" t="s">
        <v>87</v>
      </c>
      <c r="X25" s="98" t="s">
        <v>87</v>
      </c>
    </row>
    <row r="26" spans="1:24" ht="16.5">
      <c r="A26" s="40"/>
      <c r="B26" s="40"/>
      <c r="C26" s="40"/>
      <c r="D26" s="41" t="s">
        <v>167</v>
      </c>
      <c r="E26" s="64" t="s">
        <v>87</v>
      </c>
      <c r="F26" s="64" t="s">
        <v>87</v>
      </c>
      <c r="G26" s="64" t="s">
        <v>87</v>
      </c>
      <c r="H26" s="64" t="s">
        <v>87</v>
      </c>
      <c r="I26" s="64" t="s">
        <v>87</v>
      </c>
      <c r="J26" s="64" t="s">
        <v>87</v>
      </c>
      <c r="K26" s="64" t="s">
        <v>87</v>
      </c>
      <c r="L26" s="64" t="s">
        <v>87</v>
      </c>
      <c r="M26" s="92">
        <v>21.1</v>
      </c>
      <c r="N26" s="92">
        <v>22.4</v>
      </c>
      <c r="O26" s="92">
        <v>19.8</v>
      </c>
      <c r="P26" s="92">
        <v>22.2</v>
      </c>
      <c r="Q26" s="92">
        <v>23.3</v>
      </c>
      <c r="R26" s="92">
        <v>21.4</v>
      </c>
      <c r="S26" s="92">
        <v>22.4</v>
      </c>
      <c r="T26" s="92">
        <v>26.1</v>
      </c>
      <c r="U26" s="92">
        <v>25</v>
      </c>
      <c r="V26" s="92">
        <v>23</v>
      </c>
      <c r="W26" s="98" t="s">
        <v>87</v>
      </c>
      <c r="X26" s="98" t="s">
        <v>87</v>
      </c>
    </row>
    <row r="27" spans="1:24">
      <c r="A27" s="40"/>
      <c r="B27" s="40"/>
      <c r="C27" s="40"/>
      <c r="D27" s="41" t="s">
        <v>104</v>
      </c>
      <c r="E27" s="63">
        <v>1.1000000000000001</v>
      </c>
      <c r="F27" s="66">
        <v>-2.9</v>
      </c>
      <c r="G27" s="63">
        <v>6.4</v>
      </c>
      <c r="H27" s="63">
        <v>5.7</v>
      </c>
      <c r="I27" s="66">
        <v>12.3</v>
      </c>
      <c r="J27" s="66">
        <v>6.6</v>
      </c>
      <c r="K27" s="63">
        <v>5.5</v>
      </c>
      <c r="L27" s="63">
        <v>4.5999999999999996</v>
      </c>
      <c r="M27" s="94">
        <v>8.1</v>
      </c>
      <c r="N27" s="94">
        <v>15.1</v>
      </c>
      <c r="O27" s="193">
        <v>2.6</v>
      </c>
      <c r="P27" s="193">
        <v>3.3</v>
      </c>
      <c r="Q27" s="94">
        <v>5.3</v>
      </c>
      <c r="R27" s="94">
        <v>4.9000000000000004</v>
      </c>
      <c r="S27" s="94">
        <v>4.8</v>
      </c>
      <c r="T27" s="94">
        <v>4.9000000000000004</v>
      </c>
      <c r="U27" s="94">
        <v>5</v>
      </c>
      <c r="V27" s="94">
        <v>7.9</v>
      </c>
      <c r="W27" s="94">
        <v>6.2</v>
      </c>
      <c r="X27" s="94">
        <v>3.4</v>
      </c>
    </row>
    <row r="28" spans="1:24">
      <c r="A28" s="40"/>
      <c r="B28" s="40"/>
      <c r="C28" s="40"/>
      <c r="D28" s="41" t="s">
        <v>168</v>
      </c>
      <c r="E28" s="63">
        <v>1.9</v>
      </c>
      <c r="F28" s="63">
        <v>-2.2999999999999998</v>
      </c>
      <c r="G28" s="63">
        <v>5.7</v>
      </c>
      <c r="H28" s="63">
        <v>5.7</v>
      </c>
      <c r="I28" s="63">
        <v>8.1</v>
      </c>
      <c r="J28" s="63">
        <v>7.9</v>
      </c>
      <c r="K28" s="63">
        <v>7.1</v>
      </c>
      <c r="L28" s="63">
        <v>7.1</v>
      </c>
      <c r="M28" s="94">
        <v>7.9</v>
      </c>
      <c r="N28" s="94">
        <v>6.5</v>
      </c>
      <c r="O28" s="193">
        <v>4.4000000000000004</v>
      </c>
      <c r="P28" s="193">
        <v>3.7</v>
      </c>
      <c r="Q28" s="94">
        <v>6.6</v>
      </c>
      <c r="R28" s="94">
        <v>6.3</v>
      </c>
      <c r="S28" s="94">
        <v>6.7</v>
      </c>
      <c r="T28" s="94">
        <v>6.1</v>
      </c>
      <c r="U28" s="94">
        <v>7.2</v>
      </c>
      <c r="V28" s="94">
        <v>8.1</v>
      </c>
      <c r="W28" s="94">
        <v>6.2</v>
      </c>
      <c r="X28" s="94">
        <v>5.6</v>
      </c>
    </row>
    <row r="29" spans="1:24">
      <c r="A29" s="40"/>
      <c r="B29" s="40"/>
      <c r="C29" s="40"/>
      <c r="D29" s="41" t="s">
        <v>106</v>
      </c>
      <c r="E29" s="63">
        <v>7.9</v>
      </c>
      <c r="F29" s="66">
        <v>4.2</v>
      </c>
      <c r="G29" s="63">
        <v>11.9</v>
      </c>
      <c r="H29" s="63">
        <v>9.3000000000000007</v>
      </c>
      <c r="I29" s="63">
        <v>18.3</v>
      </c>
      <c r="J29" s="63">
        <v>11.5</v>
      </c>
      <c r="K29" s="63">
        <v>11.4</v>
      </c>
      <c r="L29" s="63">
        <v>9.3000000000000007</v>
      </c>
      <c r="M29" s="92">
        <v>13.5</v>
      </c>
      <c r="N29" s="92">
        <v>20.8</v>
      </c>
      <c r="O29" s="92">
        <v>7.6</v>
      </c>
      <c r="P29" s="92">
        <v>7.1</v>
      </c>
      <c r="Q29" s="92">
        <v>9.6</v>
      </c>
      <c r="R29" s="92">
        <v>9</v>
      </c>
      <c r="S29" s="92">
        <v>9.4</v>
      </c>
      <c r="T29" s="92">
        <v>9.4</v>
      </c>
      <c r="U29" s="92">
        <v>10.8</v>
      </c>
      <c r="V29" s="92">
        <v>13.7</v>
      </c>
      <c r="W29" s="92">
        <v>11.2</v>
      </c>
      <c r="X29" s="92">
        <v>9.5</v>
      </c>
    </row>
    <row r="30" spans="1:24" ht="16.5">
      <c r="A30" s="40"/>
      <c r="B30" s="40"/>
      <c r="C30" s="40"/>
      <c r="D30" s="41" t="s">
        <v>169</v>
      </c>
      <c r="E30" s="64" t="s">
        <v>87</v>
      </c>
      <c r="F30" s="64" t="s">
        <v>87</v>
      </c>
      <c r="G30" s="64" t="s">
        <v>87</v>
      </c>
      <c r="H30" s="64" t="s">
        <v>87</v>
      </c>
      <c r="I30" s="64" t="s">
        <v>87</v>
      </c>
      <c r="J30" s="64" t="s">
        <v>87</v>
      </c>
      <c r="K30" s="64" t="s">
        <v>87</v>
      </c>
      <c r="L30" s="64" t="s">
        <v>87</v>
      </c>
      <c r="M30" s="40">
        <v>57.3</v>
      </c>
      <c r="N30" s="40">
        <v>69.900000000000006</v>
      </c>
      <c r="O30" s="40">
        <v>63.4</v>
      </c>
      <c r="P30" s="40">
        <v>75.2</v>
      </c>
      <c r="Q30" s="40">
        <v>74.8</v>
      </c>
      <c r="R30" s="40">
        <v>64.599999999999994</v>
      </c>
      <c r="S30" s="40">
        <v>67.400000000000006</v>
      </c>
      <c r="T30" s="40">
        <v>67.7</v>
      </c>
      <c r="U30" s="40">
        <v>68.099999999999994</v>
      </c>
      <c r="V30" s="40">
        <v>70.099999999999994</v>
      </c>
      <c r="W30" s="98" t="s">
        <v>87</v>
      </c>
      <c r="X30" s="98" t="s">
        <v>87</v>
      </c>
    </row>
    <row r="31" spans="1:24" ht="16.5">
      <c r="A31" s="40"/>
      <c r="B31" s="40"/>
      <c r="C31" s="40"/>
      <c r="D31" s="41" t="s">
        <v>170</v>
      </c>
      <c r="E31" s="64" t="s">
        <v>87</v>
      </c>
      <c r="F31" s="64" t="s">
        <v>87</v>
      </c>
      <c r="G31" s="64" t="s">
        <v>87</v>
      </c>
      <c r="H31" s="64" t="s">
        <v>87</v>
      </c>
      <c r="I31" s="64" t="s">
        <v>87</v>
      </c>
      <c r="J31" s="64" t="s">
        <v>87</v>
      </c>
      <c r="K31" s="64" t="s">
        <v>87</v>
      </c>
      <c r="L31" s="64" t="s">
        <v>87</v>
      </c>
      <c r="M31" s="40">
        <v>9.3000000000000007</v>
      </c>
      <c r="N31" s="40">
        <v>8.5</v>
      </c>
      <c r="O31" s="40">
        <v>8.1</v>
      </c>
      <c r="P31" s="40">
        <v>2.5</v>
      </c>
      <c r="Q31" s="40">
        <v>6.4</v>
      </c>
      <c r="R31" s="40">
        <v>6.9</v>
      </c>
      <c r="S31" s="40">
        <v>4.5999999999999996</v>
      </c>
      <c r="T31" s="40">
        <v>5.4</v>
      </c>
      <c r="U31" s="40">
        <v>8.1999999999999993</v>
      </c>
      <c r="V31" s="40">
        <v>6.3</v>
      </c>
      <c r="W31" s="98" t="s">
        <v>87</v>
      </c>
      <c r="X31" s="98" t="s">
        <v>87</v>
      </c>
    </row>
    <row r="32" spans="1:24">
      <c r="A32" s="40"/>
      <c r="B32" s="40"/>
      <c r="C32" s="40"/>
      <c r="D32" s="46" t="s">
        <v>13</v>
      </c>
      <c r="E32" s="66" t="s">
        <v>13</v>
      </c>
      <c r="F32" s="66" t="s">
        <v>13</v>
      </c>
      <c r="G32" s="63" t="s">
        <v>13</v>
      </c>
      <c r="H32" s="70" t="s">
        <v>13</v>
      </c>
      <c r="I32" s="75" t="s">
        <v>13</v>
      </c>
      <c r="J32" s="75" t="s">
        <v>13</v>
      </c>
      <c r="K32" s="75" t="s">
        <v>13</v>
      </c>
      <c r="L32" s="66"/>
      <c r="M32" s="40"/>
      <c r="N32" s="40"/>
      <c r="O32" s="40"/>
      <c r="P32" s="40"/>
      <c r="Q32" s="40"/>
      <c r="R32" s="254"/>
      <c r="S32" s="254"/>
      <c r="T32" s="254"/>
      <c r="U32" s="254"/>
      <c r="V32" s="254"/>
      <c r="W32" s="254"/>
      <c r="X32" s="254"/>
    </row>
    <row r="33" spans="1:24">
      <c r="A33" s="40"/>
      <c r="B33" s="40"/>
      <c r="C33" s="40"/>
      <c r="D33" s="46"/>
      <c r="E33" s="66"/>
      <c r="F33" s="66"/>
      <c r="G33" s="63"/>
      <c r="H33" s="70"/>
      <c r="I33" s="75"/>
      <c r="J33" s="75"/>
      <c r="K33" s="75"/>
      <c r="L33" s="66"/>
      <c r="M33" s="40"/>
      <c r="N33" s="40"/>
      <c r="O33" s="40"/>
      <c r="P33" s="40"/>
      <c r="Q33" s="40"/>
      <c r="R33" s="254"/>
      <c r="S33" s="254"/>
      <c r="T33" s="254"/>
      <c r="U33" s="254"/>
      <c r="V33" s="254"/>
      <c r="W33" s="254"/>
      <c r="X33" s="254"/>
    </row>
    <row r="34" spans="1:24">
      <c r="A34" s="40"/>
      <c r="B34" s="40"/>
      <c r="C34" s="40"/>
      <c r="D34" s="253" t="s">
        <v>111</v>
      </c>
      <c r="E34" s="66"/>
      <c r="F34" s="66"/>
      <c r="G34" s="63"/>
      <c r="H34" s="70"/>
      <c r="I34" s="75"/>
      <c r="J34" s="75"/>
      <c r="K34" s="75"/>
      <c r="L34" s="66"/>
      <c r="M34" s="40"/>
      <c r="N34" s="40"/>
      <c r="O34" s="40"/>
      <c r="P34" s="40"/>
      <c r="Q34" s="40"/>
      <c r="R34" s="254"/>
      <c r="S34" s="254"/>
      <c r="T34" s="254"/>
      <c r="U34" s="254"/>
      <c r="V34" s="254"/>
      <c r="W34" s="254"/>
      <c r="X34" s="254"/>
    </row>
    <row r="35" spans="1:24" ht="29.5" thickBot="1">
      <c r="A35" s="40"/>
      <c r="B35" s="40"/>
      <c r="C35" s="40"/>
      <c r="D35" s="153" t="s">
        <v>112</v>
      </c>
      <c r="E35" s="25" t="s">
        <v>142</v>
      </c>
      <c r="F35" s="25" t="s">
        <v>143</v>
      </c>
      <c r="G35" s="24" t="s">
        <v>144</v>
      </c>
      <c r="H35" s="24" t="s">
        <v>145</v>
      </c>
      <c r="I35" s="25" t="s">
        <v>171</v>
      </c>
      <c r="J35" s="24" t="s">
        <v>172</v>
      </c>
      <c r="K35" s="24" t="s">
        <v>173</v>
      </c>
      <c r="L35" s="24" t="s">
        <v>174</v>
      </c>
      <c r="M35" s="24" t="s">
        <v>150</v>
      </c>
      <c r="N35" s="24" t="s">
        <v>151</v>
      </c>
      <c r="O35" s="24" t="s">
        <v>152</v>
      </c>
      <c r="P35" s="24" t="s">
        <v>153</v>
      </c>
      <c r="Q35" s="24" t="s">
        <v>154</v>
      </c>
      <c r="R35" s="24" t="s">
        <v>155</v>
      </c>
      <c r="S35" s="24" t="s">
        <v>156</v>
      </c>
      <c r="T35" s="24" t="s">
        <v>157</v>
      </c>
      <c r="U35" s="24" t="s">
        <v>158</v>
      </c>
      <c r="V35" s="24" t="s">
        <v>159</v>
      </c>
      <c r="W35" s="24" t="s">
        <v>160</v>
      </c>
      <c r="X35" s="24" t="s">
        <v>449</v>
      </c>
    </row>
    <row r="36" spans="1:24">
      <c r="A36" s="40"/>
      <c r="B36" s="40"/>
      <c r="C36" s="40"/>
      <c r="D36" s="134" t="s">
        <v>175</v>
      </c>
      <c r="E36" s="95"/>
      <c r="F36" s="95"/>
      <c r="G36" s="3"/>
      <c r="H36" s="3"/>
      <c r="I36" s="95"/>
      <c r="J36" s="3"/>
      <c r="K36" s="3"/>
      <c r="L36" s="3"/>
      <c r="M36" s="3"/>
      <c r="N36" s="3"/>
      <c r="O36" s="98" t="s">
        <v>124</v>
      </c>
      <c r="P36" s="98" t="s">
        <v>124</v>
      </c>
      <c r="Q36" s="98" t="s">
        <v>124</v>
      </c>
      <c r="R36" s="98" t="s">
        <v>124</v>
      </c>
      <c r="S36" s="98" t="s">
        <v>124</v>
      </c>
      <c r="T36" s="98" t="s">
        <v>124</v>
      </c>
      <c r="U36" s="98" t="s">
        <v>124</v>
      </c>
      <c r="V36" s="98" t="s">
        <v>124</v>
      </c>
      <c r="W36" s="98" t="s">
        <v>124</v>
      </c>
      <c r="X36" s="98" t="s">
        <v>124</v>
      </c>
    </row>
    <row r="37" spans="1:24">
      <c r="A37" s="40"/>
      <c r="B37" s="40"/>
      <c r="C37" s="40"/>
      <c r="D37" s="11" t="s">
        <v>123</v>
      </c>
      <c r="E37" s="97" t="s">
        <v>124</v>
      </c>
      <c r="F37" s="97" t="s">
        <v>124</v>
      </c>
      <c r="G37" s="6" t="s">
        <v>124</v>
      </c>
      <c r="H37" s="119" t="s">
        <v>124</v>
      </c>
      <c r="I37" s="98" t="s">
        <v>124</v>
      </c>
      <c r="J37" s="119" t="s">
        <v>124</v>
      </c>
      <c r="K37" s="97" t="s">
        <v>124</v>
      </c>
      <c r="L37" s="97" t="s">
        <v>124</v>
      </c>
      <c r="M37" s="97" t="s">
        <v>124</v>
      </c>
      <c r="N37" s="98">
        <v>5899</v>
      </c>
      <c r="O37" s="98" t="s">
        <v>124</v>
      </c>
      <c r="P37" s="98" t="s">
        <v>124</v>
      </c>
      <c r="Q37" s="98" t="s">
        <v>124</v>
      </c>
      <c r="R37" s="98" t="s">
        <v>124</v>
      </c>
      <c r="S37" s="98" t="s">
        <v>124</v>
      </c>
      <c r="T37" s="98" t="s">
        <v>124</v>
      </c>
      <c r="U37" s="98" t="s">
        <v>124</v>
      </c>
      <c r="V37" s="98" t="s">
        <v>124</v>
      </c>
      <c r="W37" s="98" t="s">
        <v>124</v>
      </c>
      <c r="X37" s="98" t="s">
        <v>124</v>
      </c>
    </row>
    <row r="38" spans="1:24">
      <c r="A38" s="40"/>
      <c r="B38" s="40"/>
      <c r="C38" s="40"/>
      <c r="D38" s="11" t="s">
        <v>125</v>
      </c>
      <c r="E38" s="97" t="s">
        <v>124</v>
      </c>
      <c r="F38" s="97" t="s">
        <v>124</v>
      </c>
      <c r="G38" s="6">
        <v>672</v>
      </c>
      <c r="H38" s="119" t="s">
        <v>124</v>
      </c>
      <c r="I38" s="96">
        <v>1175</v>
      </c>
      <c r="J38" s="119" t="s">
        <v>124</v>
      </c>
      <c r="K38" s="97" t="s">
        <v>124</v>
      </c>
      <c r="L38" s="97" t="s">
        <v>124</v>
      </c>
      <c r="M38" s="97" t="s">
        <v>124</v>
      </c>
      <c r="N38" s="98" t="s">
        <v>124</v>
      </c>
      <c r="O38" s="98" t="s">
        <v>124</v>
      </c>
      <c r="P38" s="98" t="s">
        <v>124</v>
      </c>
      <c r="Q38" s="98" t="s">
        <v>124</v>
      </c>
      <c r="R38" s="98" t="s">
        <v>124</v>
      </c>
      <c r="S38" s="98" t="s">
        <v>124</v>
      </c>
      <c r="T38" s="98" t="s">
        <v>124</v>
      </c>
      <c r="U38" s="98" t="s">
        <v>124</v>
      </c>
      <c r="V38" s="98" t="s">
        <v>124</v>
      </c>
      <c r="W38" s="98" t="s">
        <v>124</v>
      </c>
      <c r="X38" s="98" t="s">
        <v>124</v>
      </c>
    </row>
    <row r="39" spans="1:24" ht="29">
      <c r="A39" s="40"/>
      <c r="B39" s="40"/>
      <c r="C39" s="40"/>
      <c r="D39" s="154" t="s">
        <v>176</v>
      </c>
      <c r="E39" s="97" t="s">
        <v>124</v>
      </c>
      <c r="F39" s="97" t="s">
        <v>124</v>
      </c>
      <c r="G39" s="6" t="s">
        <v>124</v>
      </c>
      <c r="H39" s="119" t="s">
        <v>124</v>
      </c>
      <c r="I39" s="98">
        <v>2039</v>
      </c>
      <c r="J39" s="119" t="s">
        <v>124</v>
      </c>
      <c r="K39" s="97" t="s">
        <v>124</v>
      </c>
      <c r="L39" s="97" t="s">
        <v>124</v>
      </c>
      <c r="M39" s="97" t="s">
        <v>124</v>
      </c>
      <c r="N39" s="98" t="s">
        <v>124</v>
      </c>
      <c r="O39" s="98" t="s">
        <v>124</v>
      </c>
      <c r="P39" s="98" t="s">
        <v>124</v>
      </c>
      <c r="Q39" s="98" t="s">
        <v>124</v>
      </c>
      <c r="R39" s="98" t="s">
        <v>124</v>
      </c>
      <c r="S39" s="98" t="s">
        <v>124</v>
      </c>
      <c r="T39" s="98" t="s">
        <v>124</v>
      </c>
      <c r="U39" s="98" t="s">
        <v>124</v>
      </c>
      <c r="V39" s="98" t="s">
        <v>124</v>
      </c>
      <c r="W39" s="98" t="s">
        <v>124</v>
      </c>
      <c r="X39" s="98" t="s">
        <v>124</v>
      </c>
    </row>
    <row r="40" spans="1:24">
      <c r="A40" s="40"/>
      <c r="B40" s="40"/>
      <c r="C40" s="40"/>
      <c r="D40" s="154" t="s">
        <v>448</v>
      </c>
      <c r="E40" s="97"/>
      <c r="F40" s="97"/>
      <c r="G40" s="6"/>
      <c r="H40" s="119"/>
      <c r="I40" s="98"/>
      <c r="J40" s="119"/>
      <c r="K40" s="97"/>
      <c r="L40" s="97"/>
      <c r="M40" s="97"/>
      <c r="N40" s="98"/>
      <c r="O40" s="98" t="s">
        <v>124</v>
      </c>
      <c r="P40" s="98" t="s">
        <v>124</v>
      </c>
      <c r="Q40" s="98" t="s">
        <v>124</v>
      </c>
      <c r="R40" s="98" t="s">
        <v>124</v>
      </c>
      <c r="S40" s="98" t="s">
        <v>124</v>
      </c>
      <c r="T40" s="98" t="s">
        <v>124</v>
      </c>
      <c r="U40" s="98" t="s">
        <v>124</v>
      </c>
      <c r="V40" s="98" t="s">
        <v>124</v>
      </c>
      <c r="W40" s="98" t="s">
        <v>124</v>
      </c>
      <c r="X40" s="98">
        <v>-1702</v>
      </c>
    </row>
    <row r="41" spans="1:24">
      <c r="A41" s="40"/>
      <c r="B41" s="40"/>
      <c r="C41" s="40"/>
      <c r="D41" s="134" t="s">
        <v>127</v>
      </c>
      <c r="E41" s="99" t="s">
        <v>124</v>
      </c>
      <c r="F41" s="99" t="s">
        <v>124</v>
      </c>
      <c r="G41" s="136">
        <f>SUM(G36:G39)</f>
        <v>672</v>
      </c>
      <c r="H41" s="136" t="s">
        <v>124</v>
      </c>
      <c r="I41" s="99">
        <f>SUM(I36:I39)</f>
        <v>3214</v>
      </c>
      <c r="J41" s="136" t="s">
        <v>124</v>
      </c>
      <c r="K41" s="99" t="s">
        <v>124</v>
      </c>
      <c r="L41" s="99" t="s">
        <v>124</v>
      </c>
      <c r="M41" s="99" t="s">
        <v>124</v>
      </c>
      <c r="N41" s="99" t="s">
        <v>124</v>
      </c>
      <c r="O41" s="98" t="s">
        <v>124</v>
      </c>
      <c r="P41" s="98" t="s">
        <v>124</v>
      </c>
      <c r="Q41" s="98" t="s">
        <v>124</v>
      </c>
      <c r="R41" s="98" t="s">
        <v>124</v>
      </c>
      <c r="S41" s="98" t="s">
        <v>124</v>
      </c>
      <c r="T41" s="98" t="s">
        <v>124</v>
      </c>
      <c r="U41" s="98" t="s">
        <v>124</v>
      </c>
      <c r="V41" s="98" t="s">
        <v>124</v>
      </c>
      <c r="W41" s="98" t="s">
        <v>124</v>
      </c>
      <c r="X41" s="98" t="s">
        <v>124</v>
      </c>
    </row>
    <row r="42" spans="1:24">
      <c r="A42" s="40"/>
      <c r="B42" s="40"/>
      <c r="C42" s="40"/>
      <c r="D42" s="134" t="s">
        <v>177</v>
      </c>
      <c r="E42" s="99"/>
      <c r="F42" s="99"/>
      <c r="G42" s="136"/>
      <c r="H42" s="136"/>
      <c r="I42" s="99"/>
      <c r="J42" s="136"/>
      <c r="K42" s="99"/>
      <c r="L42" s="99"/>
      <c r="M42" s="99"/>
      <c r="N42" s="99"/>
      <c r="O42" s="98" t="s">
        <v>124</v>
      </c>
      <c r="P42" s="98" t="s">
        <v>124</v>
      </c>
      <c r="Q42" s="98" t="s">
        <v>124</v>
      </c>
      <c r="R42" s="98" t="s">
        <v>124</v>
      </c>
      <c r="S42" s="98" t="s">
        <v>124</v>
      </c>
      <c r="T42" s="98" t="s">
        <v>124</v>
      </c>
      <c r="U42" s="98" t="s">
        <v>124</v>
      </c>
      <c r="V42" s="98" t="s">
        <v>124</v>
      </c>
      <c r="W42" s="98" t="s">
        <v>124</v>
      </c>
      <c r="X42" s="98" t="s">
        <v>124</v>
      </c>
    </row>
    <row r="43" spans="1:24">
      <c r="A43" s="40"/>
      <c r="B43" s="40"/>
      <c r="C43" s="40"/>
      <c r="D43" s="154" t="s">
        <v>129</v>
      </c>
      <c r="E43" s="97" t="s">
        <v>124</v>
      </c>
      <c r="F43" s="97" t="s">
        <v>124</v>
      </c>
      <c r="G43" s="97" t="s">
        <v>124</v>
      </c>
      <c r="H43" s="97" t="s">
        <v>124</v>
      </c>
      <c r="I43" s="97" t="s">
        <v>124</v>
      </c>
      <c r="J43" s="97" t="s">
        <v>124</v>
      </c>
      <c r="K43" s="97" t="s">
        <v>124</v>
      </c>
      <c r="L43" s="97" t="s">
        <v>124</v>
      </c>
      <c r="M43" s="97" t="s">
        <v>124</v>
      </c>
      <c r="N43" s="97" t="s">
        <v>124</v>
      </c>
      <c r="O43" s="97" t="s">
        <v>124</v>
      </c>
      <c r="P43" s="97" t="s">
        <v>124</v>
      </c>
      <c r="Q43" s="97" t="s">
        <v>124</v>
      </c>
      <c r="R43" s="98">
        <v>-880</v>
      </c>
      <c r="S43" s="98">
        <v>256</v>
      </c>
      <c r="T43" s="98" t="s">
        <v>124</v>
      </c>
      <c r="U43" s="98" t="s">
        <v>124</v>
      </c>
      <c r="V43" s="98" t="s">
        <v>124</v>
      </c>
      <c r="W43" s="98" t="s">
        <v>124</v>
      </c>
      <c r="X43" s="98" t="s">
        <v>124</v>
      </c>
    </row>
    <row r="44" spans="1:24">
      <c r="A44" s="40"/>
      <c r="B44" s="40"/>
      <c r="C44" s="40"/>
      <c r="D44" s="154" t="s">
        <v>130</v>
      </c>
      <c r="E44" s="97" t="s">
        <v>124</v>
      </c>
      <c r="F44" s="98">
        <v>1074</v>
      </c>
      <c r="G44" s="119" t="s">
        <v>124</v>
      </c>
      <c r="H44" s="122">
        <v>-61</v>
      </c>
      <c r="I44" s="98">
        <v>55</v>
      </c>
      <c r="J44" s="122">
        <v>11</v>
      </c>
      <c r="K44" s="97" t="s">
        <v>124</v>
      </c>
      <c r="L44" s="98" t="s">
        <v>124</v>
      </c>
      <c r="M44" s="98" t="s">
        <v>124</v>
      </c>
      <c r="N44" s="98" t="s">
        <v>124</v>
      </c>
      <c r="O44" s="98" t="s">
        <v>124</v>
      </c>
      <c r="P44" s="98" t="s">
        <v>124</v>
      </c>
      <c r="Q44" s="98" t="s">
        <v>124</v>
      </c>
      <c r="R44" s="98" t="s">
        <v>124</v>
      </c>
      <c r="S44" s="98" t="s">
        <v>124</v>
      </c>
      <c r="T44" s="98" t="s">
        <v>124</v>
      </c>
      <c r="U44" s="98" t="s">
        <v>124</v>
      </c>
      <c r="V44" s="98" t="s">
        <v>124</v>
      </c>
      <c r="W44" s="98" t="s">
        <v>124</v>
      </c>
      <c r="X44" s="98" t="s">
        <v>124</v>
      </c>
    </row>
    <row r="45" spans="1:24">
      <c r="A45" s="40"/>
      <c r="B45" s="40"/>
      <c r="C45" s="40"/>
      <c r="D45" s="155" t="s">
        <v>127</v>
      </c>
      <c r="E45" s="101" t="s">
        <v>124</v>
      </c>
      <c r="F45" s="100">
        <v>1074</v>
      </c>
      <c r="G45" s="159" t="s">
        <v>124</v>
      </c>
      <c r="H45" s="159">
        <v>-61</v>
      </c>
      <c r="I45" s="100">
        <v>55</v>
      </c>
      <c r="J45" s="159">
        <v>11</v>
      </c>
      <c r="K45" s="101" t="s">
        <v>124</v>
      </c>
      <c r="L45" s="100" t="s">
        <v>124</v>
      </c>
      <c r="M45" s="100" t="s">
        <v>124</v>
      </c>
      <c r="N45" s="100" t="s">
        <v>124</v>
      </c>
      <c r="O45" s="100" t="s">
        <v>124</v>
      </c>
      <c r="P45" s="100" t="s">
        <v>124</v>
      </c>
      <c r="Q45" s="100" t="s">
        <v>124</v>
      </c>
      <c r="R45" s="100" t="s">
        <v>124</v>
      </c>
      <c r="S45" s="100" t="s">
        <v>124</v>
      </c>
      <c r="T45" s="100" t="s">
        <v>124</v>
      </c>
      <c r="U45" s="100" t="s">
        <v>124</v>
      </c>
      <c r="V45" s="100" t="s">
        <v>124</v>
      </c>
      <c r="W45" s="100" t="s">
        <v>124</v>
      </c>
      <c r="X45" s="100" t="s">
        <v>124</v>
      </c>
    </row>
    <row r="46" spans="1:24">
      <c r="A46" s="40"/>
      <c r="B46" s="40"/>
      <c r="C46" s="40"/>
      <c r="D46" s="156" t="s">
        <v>131</v>
      </c>
      <c r="E46" s="102" t="s">
        <v>124</v>
      </c>
      <c r="F46" s="157">
        <v>1074</v>
      </c>
      <c r="G46" s="8">
        <v>672</v>
      </c>
      <c r="H46" s="22">
        <v>-61</v>
      </c>
      <c r="I46" s="158">
        <f>I45+I41</f>
        <v>3269</v>
      </c>
      <c r="J46" s="22">
        <v>11</v>
      </c>
      <c r="K46" s="102" t="s">
        <v>124</v>
      </c>
      <c r="L46" s="102" t="s">
        <v>124</v>
      </c>
      <c r="M46" s="102" t="s">
        <v>124</v>
      </c>
      <c r="N46" s="102">
        <v>5899</v>
      </c>
      <c r="O46" s="102" t="s">
        <v>124</v>
      </c>
      <c r="P46" s="102" t="s">
        <v>124</v>
      </c>
      <c r="Q46" s="102" t="s">
        <v>124</v>
      </c>
      <c r="R46" s="102">
        <v>-880</v>
      </c>
      <c r="S46" s="102">
        <v>256</v>
      </c>
      <c r="T46" s="102" t="s">
        <v>124</v>
      </c>
      <c r="U46" s="102" t="s">
        <v>124</v>
      </c>
      <c r="V46" s="102" t="s">
        <v>124</v>
      </c>
      <c r="W46" s="102" t="s">
        <v>124</v>
      </c>
      <c r="X46" s="102" t="s">
        <v>124</v>
      </c>
    </row>
    <row r="48" spans="1:24" ht="161.5">
      <c r="D48" s="105" t="s">
        <v>178</v>
      </c>
    </row>
    <row r="50" spans="4:4" ht="31">
      <c r="D50" s="105" t="s">
        <v>179</v>
      </c>
    </row>
  </sheetData>
  <phoneticPr fontId="6" type="noConversion"/>
  <pageMargins left="0.7" right="0.7" top="0.75" bottom="0.75" header="0.3" footer="0.3"/>
  <pageSetup paperSize="9" scale="50" orientation="landscape" r:id="rId1"/>
  <customProperties>
    <customPr name="_pios_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CE94-8A4D-4663-B8EA-6C2530B8BBC8}">
  <dimension ref="A1:U90"/>
  <sheetViews>
    <sheetView tabSelected="1" topLeftCell="A67" workbookViewId="0">
      <selection activeCell="D74" sqref="D74"/>
    </sheetView>
  </sheetViews>
  <sheetFormatPr defaultColWidth="8.7265625" defaultRowHeight="14.5"/>
  <cols>
    <col min="1" max="2" width="8.7265625" style="11"/>
    <col min="3" max="3" width="7.1796875" style="11" customWidth="1"/>
    <col min="4" max="4" width="61.7265625" style="242" bestFit="1" customWidth="1"/>
    <col min="5" max="5" width="14" style="132" customWidth="1"/>
    <col min="6" max="6" width="13.1796875" style="132" bestFit="1" customWidth="1"/>
    <col min="7" max="7" width="14.81640625" style="132" customWidth="1"/>
    <col min="8" max="8" width="13.7265625" style="132" customWidth="1"/>
    <col min="9" max="9" width="9.81640625" style="132" customWidth="1"/>
    <col min="10" max="10" width="11" style="132" customWidth="1"/>
    <col min="11" max="15" width="9" style="132" customWidth="1"/>
    <col min="16" max="16" width="8" style="11" customWidth="1"/>
    <col min="17" max="17" width="7.453125" style="11" bestFit="1" customWidth="1"/>
    <col min="18" max="20" width="11.453125" style="11" bestFit="1" customWidth="1"/>
    <col min="21" max="16384" width="8.7265625" style="11"/>
  </cols>
  <sheetData>
    <row r="1" spans="1:18">
      <c r="A1" s="233"/>
      <c r="B1" s="233"/>
      <c r="C1" s="233"/>
      <c r="D1" s="239" t="s">
        <v>180</v>
      </c>
      <c r="E1" s="234"/>
      <c r="F1" s="234"/>
      <c r="G1" s="234"/>
      <c r="H1" s="234"/>
      <c r="I1" s="234"/>
      <c r="J1" s="234"/>
      <c r="K1" s="234"/>
      <c r="L1" s="234"/>
      <c r="M1" s="234"/>
      <c r="N1" s="234"/>
      <c r="O1" s="234"/>
      <c r="Q1" s="233"/>
    </row>
    <row r="2" spans="1:18">
      <c r="A2" s="233"/>
      <c r="B2" s="233"/>
      <c r="C2" s="233"/>
      <c r="D2" s="240"/>
      <c r="E2" s="234"/>
      <c r="F2" s="234"/>
      <c r="G2" s="234"/>
      <c r="H2" s="234"/>
      <c r="I2" s="234"/>
      <c r="J2" s="234"/>
      <c r="K2" s="234"/>
      <c r="L2" s="234"/>
      <c r="M2" s="234"/>
      <c r="N2" s="234"/>
      <c r="O2" s="234"/>
      <c r="Q2" s="233"/>
    </row>
    <row r="3" spans="1:18">
      <c r="A3" s="233"/>
      <c r="B3" s="233"/>
      <c r="C3" s="233"/>
      <c r="D3" s="240"/>
      <c r="E3" s="234"/>
      <c r="F3" s="234"/>
      <c r="G3" s="234"/>
      <c r="H3" s="234"/>
      <c r="I3" s="234"/>
      <c r="J3" s="234"/>
      <c r="K3" s="234"/>
      <c r="L3" s="234"/>
      <c r="M3" s="234"/>
      <c r="N3" s="234"/>
      <c r="O3" s="234"/>
      <c r="Q3" s="233"/>
    </row>
    <row r="4" spans="1:18">
      <c r="A4" s="233"/>
      <c r="B4" s="233"/>
      <c r="C4" s="233"/>
      <c r="D4" s="240"/>
      <c r="E4" s="234"/>
      <c r="F4" s="234"/>
      <c r="G4" s="234"/>
      <c r="H4" s="234"/>
      <c r="I4" s="234"/>
      <c r="J4" s="234"/>
      <c r="K4" s="234"/>
      <c r="L4" s="234"/>
      <c r="M4" s="234"/>
      <c r="N4" s="234"/>
      <c r="O4" s="234"/>
      <c r="Q4" s="233"/>
    </row>
    <row r="5" spans="1:18">
      <c r="A5" s="233"/>
      <c r="B5" s="233"/>
      <c r="C5" s="233"/>
      <c r="D5" s="240"/>
      <c r="E5" s="234"/>
      <c r="F5" s="234"/>
      <c r="G5" s="234"/>
      <c r="H5" s="234"/>
      <c r="I5" s="234"/>
      <c r="J5" s="234"/>
      <c r="K5" s="234"/>
      <c r="L5" s="234"/>
      <c r="M5" s="234"/>
      <c r="N5" s="234"/>
      <c r="O5" s="234"/>
      <c r="Q5" s="233"/>
    </row>
    <row r="6" spans="1:18">
      <c r="A6" s="233"/>
      <c r="B6" s="233"/>
      <c r="C6" s="233"/>
      <c r="D6" s="240"/>
      <c r="E6" s="234"/>
      <c r="F6" s="234"/>
      <c r="G6" s="234"/>
      <c r="H6" s="234"/>
      <c r="I6" s="234"/>
      <c r="J6" s="234"/>
      <c r="K6" s="234"/>
      <c r="L6" s="234"/>
      <c r="M6" s="234"/>
      <c r="N6" s="234"/>
      <c r="O6" s="234"/>
      <c r="Q6" s="233"/>
    </row>
    <row r="7" spans="1:18">
      <c r="A7" s="233"/>
      <c r="B7" s="233"/>
      <c r="C7" s="233"/>
      <c r="D7" s="240"/>
      <c r="E7" s="234"/>
      <c r="F7" s="234"/>
      <c r="G7" s="234"/>
      <c r="H7" s="234"/>
      <c r="I7" s="234"/>
      <c r="J7" s="234"/>
      <c r="K7" s="234"/>
      <c r="L7" s="234"/>
      <c r="M7" s="234"/>
      <c r="N7" s="234"/>
      <c r="O7" s="234"/>
      <c r="Q7" s="233"/>
    </row>
    <row r="8" spans="1:18">
      <c r="A8" s="233"/>
      <c r="B8" s="233"/>
      <c r="C8" s="233"/>
      <c r="D8" s="240"/>
      <c r="E8" s="234"/>
      <c r="F8" s="234"/>
      <c r="G8" s="234"/>
      <c r="H8" s="234"/>
      <c r="I8" s="234"/>
      <c r="J8" s="234"/>
      <c r="K8" s="234"/>
      <c r="L8" s="234"/>
      <c r="M8" s="234"/>
      <c r="N8" s="234"/>
      <c r="O8" s="234"/>
      <c r="Q8" s="233"/>
    </row>
    <row r="9" spans="1:18">
      <c r="A9" s="233"/>
      <c r="B9" s="233"/>
      <c r="C9" s="233"/>
      <c r="D9" s="240"/>
      <c r="E9" s="234"/>
      <c r="F9" s="234"/>
      <c r="G9" s="234"/>
      <c r="H9" s="234"/>
      <c r="I9" s="234"/>
      <c r="J9" s="234"/>
      <c r="K9" s="234"/>
      <c r="L9" s="234"/>
      <c r="M9" s="234"/>
      <c r="N9" s="234"/>
      <c r="O9" s="234"/>
      <c r="Q9" s="233"/>
    </row>
    <row r="10" spans="1:18" ht="15" thickBot="1">
      <c r="A10" s="233"/>
      <c r="B10" s="233"/>
      <c r="C10" s="233"/>
      <c r="D10" s="243" t="s">
        <v>101</v>
      </c>
      <c r="E10" s="177" t="s">
        <v>473</v>
      </c>
      <c r="F10" s="177" t="s">
        <v>472</v>
      </c>
      <c r="G10" s="178" t="s">
        <v>471</v>
      </c>
      <c r="H10" s="250"/>
      <c r="I10" s="250"/>
      <c r="J10" s="250"/>
      <c r="K10" s="250"/>
      <c r="L10" s="250"/>
      <c r="M10" s="250"/>
      <c r="N10" s="250"/>
      <c r="O10" s="250"/>
      <c r="P10" s="95"/>
      <c r="Q10" s="95"/>
      <c r="R10" s="248"/>
    </row>
    <row r="11" spans="1:18">
      <c r="A11" s="233"/>
      <c r="B11" s="233"/>
      <c r="C11" s="233"/>
      <c r="D11" s="240" t="s">
        <v>182</v>
      </c>
      <c r="E11" s="235">
        <v>19122</v>
      </c>
      <c r="F11" s="236">
        <v>22832</v>
      </c>
      <c r="G11" s="235">
        <v>79413</v>
      </c>
      <c r="H11" s="235"/>
      <c r="I11" s="235"/>
      <c r="J11" s="235"/>
      <c r="K11" s="235"/>
      <c r="L11" s="235"/>
      <c r="M11" s="235"/>
      <c r="N11" s="235"/>
      <c r="O11" s="235"/>
      <c r="P11" s="248"/>
      <c r="Q11" s="248"/>
      <c r="R11" s="248"/>
    </row>
    <row r="12" spans="1:18">
      <c r="A12" s="233"/>
      <c r="B12" s="233"/>
      <c r="C12" s="233"/>
      <c r="D12" s="240" t="s">
        <v>183</v>
      </c>
      <c r="E12" s="235">
        <v>112119</v>
      </c>
      <c r="F12" s="236">
        <v>109441</v>
      </c>
      <c r="G12" s="235">
        <v>400234</v>
      </c>
      <c r="H12" s="235"/>
      <c r="I12" s="235"/>
      <c r="J12" s="235"/>
      <c r="K12" s="235"/>
      <c r="L12" s="235"/>
      <c r="M12" s="235"/>
      <c r="N12" s="235"/>
      <c r="O12" s="235"/>
      <c r="P12" s="248"/>
      <c r="Q12" s="248"/>
    </row>
    <row r="13" spans="1:18" ht="15" thickBot="1">
      <c r="A13" s="233"/>
      <c r="B13" s="233"/>
      <c r="C13" s="233"/>
      <c r="D13" s="243" t="s">
        <v>48</v>
      </c>
      <c r="E13" s="244">
        <v>0.17055093249137077</v>
      </c>
      <c r="F13" s="244">
        <v>0.20862382470920404</v>
      </c>
      <c r="G13" s="245">
        <v>0.19841642639056153</v>
      </c>
      <c r="H13" s="251"/>
      <c r="I13" s="251"/>
      <c r="J13" s="251"/>
      <c r="K13" s="251"/>
      <c r="L13" s="251"/>
      <c r="M13" s="251"/>
      <c r="N13" s="251"/>
      <c r="O13" s="251"/>
      <c r="P13" s="95"/>
      <c r="Q13" s="95"/>
      <c r="R13" s="248"/>
    </row>
    <row r="14" spans="1:18">
      <c r="A14" s="233"/>
      <c r="B14" s="233"/>
      <c r="C14" s="233"/>
      <c r="D14" s="240"/>
      <c r="E14" s="287"/>
      <c r="F14" s="287"/>
      <c r="G14" s="287"/>
      <c r="H14" s="234"/>
      <c r="I14" s="234"/>
      <c r="J14" s="234"/>
      <c r="K14" s="234"/>
      <c r="L14" s="234"/>
      <c r="M14" s="234"/>
      <c r="N14" s="234"/>
      <c r="O14" s="234"/>
      <c r="Q14" s="233"/>
    </row>
    <row r="15" spans="1:18">
      <c r="A15" s="233"/>
      <c r="B15" s="233"/>
      <c r="C15" s="233"/>
      <c r="D15" s="240"/>
      <c r="E15" s="287"/>
      <c r="F15" s="287"/>
      <c r="G15" s="287"/>
      <c r="H15" s="234"/>
      <c r="I15" s="234"/>
      <c r="J15" s="234"/>
      <c r="K15" s="234"/>
      <c r="L15" s="234"/>
      <c r="M15" s="234"/>
      <c r="N15" s="234"/>
      <c r="O15" s="234"/>
      <c r="Q15" s="233"/>
    </row>
    <row r="16" spans="1:18" ht="15" thickBot="1">
      <c r="A16" s="233"/>
      <c r="B16" s="233"/>
      <c r="C16" s="233"/>
      <c r="D16" s="243" t="s">
        <v>184</v>
      </c>
      <c r="E16" s="177" t="s">
        <v>473</v>
      </c>
      <c r="F16" s="177" t="s">
        <v>472</v>
      </c>
      <c r="G16" s="178" t="s">
        <v>471</v>
      </c>
      <c r="H16" s="250"/>
      <c r="I16" s="250"/>
      <c r="J16" s="250"/>
      <c r="K16" s="250"/>
      <c r="L16" s="250"/>
      <c r="M16" s="250"/>
      <c r="N16" s="250"/>
      <c r="O16" s="250"/>
      <c r="P16" s="95"/>
      <c r="Q16" s="95"/>
    </row>
    <row r="17" spans="1:21">
      <c r="A17" s="233"/>
      <c r="B17" s="233"/>
      <c r="C17" s="233"/>
      <c r="D17" s="240" t="s">
        <v>185</v>
      </c>
      <c r="E17" s="235">
        <v>3853</v>
      </c>
      <c r="F17" s="236">
        <v>5388</v>
      </c>
      <c r="G17" s="235">
        <v>22318</v>
      </c>
      <c r="H17" s="235"/>
      <c r="I17" s="235"/>
      <c r="J17" s="235"/>
      <c r="K17" s="235"/>
      <c r="L17" s="235"/>
      <c r="M17" s="235"/>
      <c r="N17" s="235"/>
      <c r="O17" s="235"/>
      <c r="P17" s="248"/>
      <c r="Q17" s="248"/>
    </row>
    <row r="18" spans="1:21">
      <c r="A18" s="233"/>
      <c r="B18" s="233"/>
      <c r="C18" s="233"/>
      <c r="D18" s="240" t="s">
        <v>183</v>
      </c>
      <c r="E18" s="235">
        <v>112119</v>
      </c>
      <c r="F18" s="236">
        <v>109441</v>
      </c>
      <c r="G18" s="235">
        <v>400234</v>
      </c>
      <c r="H18" s="235"/>
      <c r="I18" s="235"/>
      <c r="J18" s="235"/>
      <c r="K18" s="235"/>
      <c r="L18" s="235"/>
      <c r="M18" s="235"/>
      <c r="N18" s="235"/>
      <c r="O18" s="235"/>
      <c r="P18" s="248"/>
      <c r="Q18" s="248"/>
      <c r="T18" s="237"/>
      <c r="U18" s="237"/>
    </row>
    <row r="19" spans="1:21" ht="15" thickBot="1">
      <c r="A19" s="233"/>
      <c r="B19" s="233"/>
      <c r="C19" s="233"/>
      <c r="D19" s="243" t="s">
        <v>52</v>
      </c>
      <c r="E19" s="244">
        <v>3.4365272612135324E-2</v>
      </c>
      <c r="F19" s="244">
        <v>4.9232006286492262E-2</v>
      </c>
      <c r="G19" s="245">
        <v>5.5762379008280155E-2</v>
      </c>
      <c r="H19" s="251"/>
      <c r="I19" s="251"/>
      <c r="J19" s="251"/>
      <c r="K19" s="251"/>
      <c r="L19" s="251"/>
      <c r="M19" s="251"/>
      <c r="N19" s="251"/>
      <c r="O19" s="251"/>
      <c r="P19" s="95"/>
      <c r="Q19" s="95"/>
      <c r="T19" s="237"/>
      <c r="U19" s="237"/>
    </row>
    <row r="20" spans="1:21">
      <c r="A20" s="233"/>
      <c r="B20" s="233"/>
      <c r="C20" s="233"/>
      <c r="D20" s="239"/>
      <c r="E20" s="285"/>
      <c r="F20" s="285"/>
      <c r="G20" s="285"/>
      <c r="H20" s="235"/>
      <c r="I20" s="235"/>
      <c r="J20" s="235"/>
      <c r="K20" s="235"/>
      <c r="L20" s="235"/>
      <c r="M20" s="235"/>
      <c r="N20" s="235"/>
      <c r="O20" s="235"/>
      <c r="P20" s="248"/>
      <c r="Q20" s="248"/>
      <c r="T20" s="237"/>
      <c r="U20" s="237"/>
    </row>
    <row r="21" spans="1:21">
      <c r="A21" s="233"/>
      <c r="B21" s="233"/>
      <c r="C21" s="233"/>
      <c r="D21" s="239"/>
      <c r="E21" s="285"/>
      <c r="F21" s="286"/>
      <c r="G21" s="285"/>
      <c r="H21" s="235"/>
      <c r="I21" s="235"/>
      <c r="J21" s="235"/>
      <c r="K21" s="235"/>
      <c r="L21" s="235"/>
      <c r="M21" s="235"/>
      <c r="N21" s="235"/>
      <c r="O21" s="235"/>
      <c r="P21" s="248"/>
      <c r="Q21" s="248"/>
    </row>
    <row r="22" spans="1:21" ht="15" thickBot="1">
      <c r="A22" s="233"/>
      <c r="B22" s="233"/>
      <c r="C22" s="233"/>
      <c r="D22" s="243" t="s">
        <v>186</v>
      </c>
      <c r="E22" s="177" t="s">
        <v>473</v>
      </c>
      <c r="F22" s="177" t="s">
        <v>472</v>
      </c>
      <c r="G22" s="178" t="s">
        <v>471</v>
      </c>
      <c r="H22" s="250"/>
      <c r="I22" s="250"/>
      <c r="J22" s="250"/>
      <c r="K22" s="250"/>
      <c r="L22" s="250"/>
      <c r="M22" s="250"/>
      <c r="N22" s="250"/>
      <c r="O22" s="250"/>
      <c r="P22" s="95"/>
      <c r="Q22" s="95"/>
      <c r="R22" s="248"/>
    </row>
    <row r="23" spans="1:21">
      <c r="A23" s="233"/>
      <c r="B23" s="233"/>
      <c r="C23" s="233"/>
      <c r="D23" s="240" t="s">
        <v>187</v>
      </c>
      <c r="E23" s="235">
        <v>6319</v>
      </c>
      <c r="F23" s="236">
        <v>6677</v>
      </c>
      <c r="G23" s="235">
        <v>27040</v>
      </c>
      <c r="H23" s="235"/>
      <c r="I23" s="235"/>
      <c r="J23" s="235"/>
      <c r="K23" s="235"/>
      <c r="L23" s="235"/>
      <c r="M23" s="235"/>
      <c r="N23" s="235"/>
      <c r="O23" s="235"/>
      <c r="P23" s="248"/>
      <c r="Q23" s="248"/>
      <c r="R23" s="248"/>
    </row>
    <row r="24" spans="1:21">
      <c r="A24" s="233"/>
      <c r="B24" s="233"/>
      <c r="C24" s="233"/>
      <c r="D24" s="240" t="s">
        <v>183</v>
      </c>
      <c r="E24" s="235">
        <v>112119</v>
      </c>
      <c r="F24" s="236">
        <v>109441</v>
      </c>
      <c r="G24" s="235">
        <v>400234</v>
      </c>
      <c r="H24" s="235"/>
      <c r="I24" s="235"/>
      <c r="J24" s="235"/>
      <c r="K24" s="235"/>
      <c r="L24" s="235"/>
      <c r="M24" s="235"/>
      <c r="N24" s="235"/>
      <c r="O24" s="235"/>
      <c r="P24" s="248"/>
      <c r="Q24" s="248"/>
    </row>
    <row r="25" spans="1:21" ht="15" thickBot="1">
      <c r="A25" s="233"/>
      <c r="B25" s="233"/>
      <c r="C25" s="233"/>
      <c r="D25" s="243" t="s">
        <v>188</v>
      </c>
      <c r="E25" s="244">
        <v>5.6359760611493143E-2</v>
      </c>
      <c r="F25" s="244">
        <v>6.1010041940406247E-2</v>
      </c>
      <c r="G25" s="245">
        <v>6.7560477120884282E-2</v>
      </c>
      <c r="H25" s="251"/>
      <c r="I25" s="251"/>
      <c r="J25" s="251"/>
      <c r="K25" s="251"/>
      <c r="L25" s="251"/>
      <c r="M25" s="251"/>
      <c r="N25" s="251"/>
      <c r="O25" s="251"/>
      <c r="P25" s="95"/>
      <c r="Q25" s="95"/>
      <c r="R25" s="248"/>
    </row>
    <row r="26" spans="1:21">
      <c r="A26" s="233"/>
      <c r="B26" s="233"/>
      <c r="C26" s="233"/>
      <c r="D26" s="239"/>
      <c r="E26" s="285"/>
      <c r="F26" s="286"/>
      <c r="G26" s="285"/>
      <c r="H26" s="235"/>
      <c r="I26" s="235"/>
      <c r="J26" s="235"/>
      <c r="K26" s="235"/>
      <c r="L26" s="235"/>
      <c r="M26" s="235"/>
      <c r="N26" s="235"/>
      <c r="O26" s="235"/>
      <c r="P26" s="248"/>
      <c r="Q26" s="248"/>
    </row>
    <row r="27" spans="1:21">
      <c r="A27" s="233"/>
      <c r="B27" s="233"/>
      <c r="C27" s="233"/>
      <c r="D27" s="239"/>
      <c r="E27" s="285"/>
      <c r="F27" s="286"/>
      <c r="G27" s="285"/>
      <c r="H27" s="235"/>
      <c r="I27" s="235"/>
      <c r="J27" s="235"/>
      <c r="K27" s="235"/>
      <c r="L27" s="235"/>
      <c r="M27" s="235"/>
      <c r="N27" s="235"/>
      <c r="O27" s="235"/>
      <c r="P27" s="248"/>
      <c r="Q27" s="248"/>
    </row>
    <row r="28" spans="1:21" ht="15" thickBot="1">
      <c r="A28" s="233"/>
      <c r="B28" s="233"/>
      <c r="C28" s="233"/>
      <c r="D28" s="243" t="s">
        <v>189</v>
      </c>
      <c r="E28" s="177" t="s">
        <v>473</v>
      </c>
      <c r="F28" s="177" t="s">
        <v>472</v>
      </c>
      <c r="G28" s="178" t="s">
        <v>471</v>
      </c>
      <c r="H28" s="250"/>
      <c r="I28" s="250"/>
      <c r="J28" s="250"/>
      <c r="K28" s="250"/>
      <c r="L28" s="250"/>
      <c r="M28" s="250"/>
      <c r="N28" s="250"/>
      <c r="O28" s="250"/>
      <c r="P28" s="95"/>
      <c r="Q28" s="95"/>
      <c r="R28" s="248"/>
    </row>
    <row r="29" spans="1:21">
      <c r="A29" s="233"/>
      <c r="B29" s="233"/>
      <c r="C29" s="233"/>
      <c r="D29" s="240" t="s">
        <v>185</v>
      </c>
      <c r="E29" s="235">
        <v>3853</v>
      </c>
      <c r="F29" s="236">
        <v>5388</v>
      </c>
      <c r="G29" s="235">
        <v>22318</v>
      </c>
      <c r="H29" s="235"/>
      <c r="I29" s="235"/>
      <c r="J29" s="235"/>
      <c r="K29" s="235"/>
      <c r="L29" s="235"/>
      <c r="M29" s="235"/>
      <c r="N29" s="235"/>
      <c r="O29" s="235"/>
      <c r="P29" s="248"/>
      <c r="Q29" s="248"/>
      <c r="R29" s="248"/>
    </row>
    <row r="30" spans="1:21">
      <c r="A30" s="233"/>
      <c r="B30" s="233"/>
      <c r="C30" s="233"/>
      <c r="D30" s="240" t="s">
        <v>190</v>
      </c>
      <c r="E30" s="235">
        <v>6758</v>
      </c>
      <c r="F30" s="236">
        <v>4922</v>
      </c>
      <c r="G30" s="235">
        <v>22730</v>
      </c>
      <c r="H30" s="235"/>
      <c r="I30" s="235"/>
      <c r="J30" s="235"/>
      <c r="K30" s="235"/>
      <c r="L30" s="235"/>
      <c r="M30" s="235"/>
      <c r="N30" s="235"/>
      <c r="O30" s="235"/>
      <c r="P30" s="248"/>
      <c r="Q30" s="248"/>
    </row>
    <row r="31" spans="1:21">
      <c r="A31" s="233"/>
      <c r="B31" s="233"/>
      <c r="C31" s="233"/>
      <c r="D31" s="240" t="s">
        <v>56</v>
      </c>
      <c r="E31" s="235">
        <v>10611</v>
      </c>
      <c r="F31" s="236">
        <v>10310</v>
      </c>
      <c r="G31" s="235">
        <v>45048</v>
      </c>
      <c r="H31" s="235"/>
      <c r="I31" s="235"/>
      <c r="J31" s="235"/>
      <c r="K31" s="235"/>
      <c r="L31" s="235"/>
      <c r="M31" s="235"/>
      <c r="N31" s="235"/>
      <c r="O31" s="235"/>
      <c r="P31" s="248"/>
      <c r="Q31" s="248"/>
      <c r="R31" s="248"/>
    </row>
    <row r="32" spans="1:21">
      <c r="A32" s="233"/>
      <c r="B32" s="233"/>
      <c r="C32" s="233"/>
      <c r="D32" s="240" t="s">
        <v>183</v>
      </c>
      <c r="E32" s="235">
        <v>112119</v>
      </c>
      <c r="F32" s="236">
        <v>109441</v>
      </c>
      <c r="G32" s="235">
        <v>400234</v>
      </c>
      <c r="H32" s="235"/>
      <c r="I32" s="235"/>
      <c r="J32" s="235"/>
      <c r="K32" s="235"/>
      <c r="L32" s="235"/>
      <c r="M32" s="235"/>
      <c r="N32" s="235"/>
      <c r="O32" s="235"/>
      <c r="P32" s="248"/>
      <c r="Q32" s="248"/>
    </row>
    <row r="33" spans="1:18" ht="15" thickBot="1">
      <c r="A33" s="233"/>
      <c r="B33" s="233"/>
      <c r="C33" s="233"/>
      <c r="D33" s="243" t="s">
        <v>191</v>
      </c>
      <c r="E33" s="244">
        <v>9.4640515880448459E-2</v>
      </c>
      <c r="F33" s="244">
        <v>9.420601054449429E-2</v>
      </c>
      <c r="G33" s="245">
        <v>0.11255415581884598</v>
      </c>
      <c r="H33" s="251"/>
      <c r="I33" s="251"/>
      <c r="J33" s="251"/>
      <c r="K33" s="251"/>
      <c r="L33" s="251"/>
      <c r="M33" s="251"/>
      <c r="N33" s="251"/>
      <c r="O33" s="251"/>
      <c r="P33" s="95"/>
      <c r="Q33" s="95"/>
      <c r="R33" s="248"/>
    </row>
    <row r="34" spans="1:18">
      <c r="A34" s="233"/>
      <c r="B34" s="233"/>
      <c r="C34" s="233"/>
      <c r="D34" s="239"/>
      <c r="E34" s="235"/>
      <c r="F34" s="236"/>
      <c r="G34" s="235"/>
      <c r="H34" s="235"/>
      <c r="I34" s="235"/>
      <c r="J34" s="235"/>
      <c r="K34" s="235"/>
      <c r="L34" s="235"/>
      <c r="M34" s="235"/>
      <c r="N34" s="235"/>
      <c r="O34" s="235"/>
      <c r="P34" s="248"/>
      <c r="Q34" s="248"/>
    </row>
    <row r="35" spans="1:18">
      <c r="A35" s="233"/>
      <c r="B35" s="233"/>
      <c r="C35" s="233"/>
      <c r="D35" s="239"/>
      <c r="E35" s="234"/>
      <c r="F35" s="238"/>
      <c r="G35" s="234"/>
      <c r="H35" s="234"/>
      <c r="I35" s="234"/>
      <c r="J35" s="234"/>
      <c r="K35" s="234"/>
      <c r="L35" s="234"/>
      <c r="M35" s="234"/>
      <c r="N35" s="234"/>
      <c r="O35" s="234"/>
      <c r="P35" s="249"/>
      <c r="Q35" s="249"/>
    </row>
    <row r="36" spans="1:18">
      <c r="A36" s="233"/>
      <c r="B36" s="233"/>
      <c r="C36" s="233"/>
      <c r="D36" s="239"/>
      <c r="E36" s="235"/>
      <c r="F36" s="235"/>
      <c r="G36" s="235"/>
      <c r="H36" s="235"/>
      <c r="I36" s="235"/>
      <c r="J36" s="235"/>
      <c r="K36" s="235"/>
      <c r="L36" s="235"/>
      <c r="M36" s="235"/>
      <c r="N36" s="235"/>
      <c r="O36" s="235"/>
      <c r="P36" s="233"/>
      <c r="Q36" s="233"/>
    </row>
    <row r="37" spans="1:18" ht="15" thickBot="1">
      <c r="A37" s="233"/>
      <c r="B37" s="233"/>
      <c r="C37" s="233"/>
      <c r="D37" s="243" t="s">
        <v>192</v>
      </c>
      <c r="E37" s="177" t="s">
        <v>471</v>
      </c>
      <c r="F37" s="177" t="s">
        <v>181</v>
      </c>
      <c r="G37" s="250"/>
      <c r="H37" s="250"/>
      <c r="I37" s="250"/>
      <c r="J37" s="250"/>
      <c r="K37" s="250"/>
      <c r="L37" s="250"/>
      <c r="M37" s="250"/>
      <c r="N37" s="250"/>
      <c r="O37" s="250"/>
      <c r="P37" s="95"/>
      <c r="Q37" s="95"/>
      <c r="R37" s="248"/>
    </row>
    <row r="38" spans="1:18">
      <c r="A38" s="233"/>
      <c r="B38" s="233"/>
      <c r="C38" s="233"/>
      <c r="D38" s="240" t="s">
        <v>193</v>
      </c>
      <c r="E38" s="235">
        <v>39978.800000000003</v>
      </c>
      <c r="F38" s="236">
        <v>36474</v>
      </c>
      <c r="G38" s="235"/>
      <c r="H38" s="235"/>
      <c r="I38" s="235"/>
      <c r="J38" s="235"/>
      <c r="K38" s="235"/>
      <c r="L38" s="235"/>
      <c r="M38" s="235"/>
      <c r="N38" s="235"/>
      <c r="O38" s="235"/>
      <c r="P38" s="248"/>
      <c r="Q38" s="248"/>
      <c r="R38" s="248"/>
    </row>
    <row r="39" spans="1:18" ht="15" thickBot="1">
      <c r="A39" s="233"/>
      <c r="B39" s="233"/>
      <c r="C39" s="233"/>
      <c r="D39" s="243" t="s">
        <v>194</v>
      </c>
      <c r="E39" s="246">
        <v>39978.800000000003</v>
      </c>
      <c r="F39" s="246">
        <v>36474</v>
      </c>
      <c r="G39" s="251"/>
      <c r="H39" s="251"/>
      <c r="I39" s="251"/>
      <c r="J39" s="251"/>
      <c r="K39" s="251"/>
      <c r="L39" s="251"/>
      <c r="M39" s="251"/>
      <c r="N39" s="251"/>
      <c r="O39" s="251"/>
      <c r="P39" s="95"/>
      <c r="Q39" s="95"/>
      <c r="R39" s="248"/>
    </row>
    <row r="40" spans="1:18">
      <c r="A40" s="233"/>
      <c r="B40" s="233"/>
      <c r="C40" s="233"/>
      <c r="D40" s="239"/>
      <c r="E40" s="235"/>
      <c r="F40" s="235"/>
      <c r="G40" s="235"/>
      <c r="H40" s="235"/>
      <c r="I40" s="235"/>
      <c r="J40" s="235"/>
      <c r="K40" s="235"/>
      <c r="L40" s="235"/>
      <c r="M40" s="235"/>
      <c r="N40" s="235"/>
      <c r="O40" s="235"/>
      <c r="P40" s="233"/>
      <c r="Q40" s="233"/>
    </row>
    <row r="41" spans="1:18">
      <c r="A41" s="233"/>
      <c r="B41" s="233"/>
      <c r="C41" s="233"/>
      <c r="D41" s="239"/>
      <c r="E41" s="235"/>
      <c r="F41" s="235"/>
      <c r="G41" s="235"/>
      <c r="H41" s="235"/>
      <c r="I41" s="235"/>
      <c r="J41" s="235"/>
      <c r="K41" s="235"/>
      <c r="L41" s="235"/>
      <c r="M41" s="235"/>
      <c r="N41" s="235"/>
      <c r="O41" s="235"/>
      <c r="P41" s="233"/>
      <c r="Q41" s="233"/>
    </row>
    <row r="42" spans="1:18">
      <c r="A42" s="233"/>
      <c r="B42" s="233"/>
      <c r="C42" s="233"/>
      <c r="D42" s="239"/>
      <c r="E42" s="235"/>
      <c r="F42" s="235"/>
      <c r="G42" s="235"/>
      <c r="H42" s="235"/>
      <c r="I42" s="235"/>
      <c r="J42" s="235"/>
      <c r="K42" s="235"/>
      <c r="L42" s="235"/>
      <c r="M42" s="235"/>
      <c r="N42" s="235"/>
      <c r="O42" s="235"/>
      <c r="P42" s="233"/>
      <c r="Q42" s="233"/>
    </row>
    <row r="43" spans="1:18" ht="17" thickBot="1">
      <c r="A43" s="233"/>
      <c r="B43" s="233"/>
      <c r="C43" s="233"/>
      <c r="D43" s="243" t="s">
        <v>195</v>
      </c>
      <c r="E43" s="177" t="s">
        <v>471</v>
      </c>
      <c r="F43" s="177" t="s">
        <v>181</v>
      </c>
      <c r="G43" s="250"/>
      <c r="H43" s="250"/>
      <c r="I43" s="250"/>
      <c r="J43" s="250"/>
      <c r="K43" s="250"/>
      <c r="L43" s="250"/>
      <c r="M43" s="250"/>
      <c r="N43" s="250"/>
      <c r="O43" s="250"/>
      <c r="P43" s="95"/>
      <c r="Q43" s="95"/>
      <c r="R43" s="248"/>
    </row>
    <row r="44" spans="1:18">
      <c r="A44" s="233"/>
      <c r="B44" s="233"/>
      <c r="C44" s="233"/>
      <c r="D44" s="240" t="s">
        <v>196</v>
      </c>
      <c r="E44" s="235">
        <v>372947.5</v>
      </c>
      <c r="F44" s="236">
        <v>343643</v>
      </c>
      <c r="G44" s="235"/>
      <c r="H44" s="235"/>
      <c r="I44" s="235"/>
      <c r="J44" s="235"/>
      <c r="K44" s="235"/>
      <c r="L44" s="235"/>
      <c r="M44" s="235"/>
      <c r="N44" s="235"/>
      <c r="O44" s="235"/>
      <c r="P44" s="248"/>
      <c r="Q44" s="248"/>
      <c r="R44" s="248"/>
    </row>
    <row r="45" spans="1:18">
      <c r="A45" s="233"/>
      <c r="B45" s="233"/>
      <c r="C45" s="233"/>
      <c r="D45" s="240" t="s">
        <v>197</v>
      </c>
      <c r="E45" s="235" t="s">
        <v>198</v>
      </c>
      <c r="F45" s="236" t="s">
        <v>198</v>
      </c>
      <c r="G45" s="235"/>
      <c r="H45" s="235"/>
      <c r="I45" s="235"/>
      <c r="J45" s="235"/>
      <c r="K45" s="235"/>
      <c r="L45" s="235"/>
      <c r="M45" s="235"/>
      <c r="N45" s="235"/>
      <c r="O45" s="235"/>
      <c r="P45" s="248"/>
      <c r="Q45" s="248"/>
    </row>
    <row r="46" spans="1:18">
      <c r="A46" s="233"/>
      <c r="B46" s="233"/>
      <c r="C46" s="233"/>
      <c r="D46" s="240" t="s">
        <v>199</v>
      </c>
      <c r="E46" s="235">
        <v>-12409.5</v>
      </c>
      <c r="F46" s="236">
        <v>-8209.5</v>
      </c>
      <c r="G46" s="235"/>
      <c r="H46" s="235"/>
      <c r="I46" s="235"/>
      <c r="J46" s="235"/>
      <c r="K46" s="235"/>
      <c r="L46" s="235"/>
      <c r="M46" s="235"/>
      <c r="N46" s="235"/>
      <c r="O46" s="235"/>
      <c r="P46" s="248"/>
      <c r="Q46" s="248"/>
      <c r="R46" s="248"/>
    </row>
    <row r="47" spans="1:18">
      <c r="A47" s="233"/>
      <c r="B47" s="233"/>
      <c r="C47" s="233"/>
      <c r="D47" s="240" t="s">
        <v>200</v>
      </c>
      <c r="E47" s="235">
        <v>-52117</v>
      </c>
      <c r="F47" s="236">
        <v>-55802</v>
      </c>
      <c r="G47" s="235"/>
      <c r="H47" s="235"/>
      <c r="I47" s="235"/>
      <c r="J47" s="235"/>
      <c r="K47" s="235"/>
      <c r="L47" s="235"/>
      <c r="M47" s="235"/>
      <c r="N47" s="235"/>
      <c r="O47" s="235"/>
      <c r="P47" s="248"/>
      <c r="Q47" s="248"/>
    </row>
    <row r="48" spans="1:18">
      <c r="A48" s="233"/>
      <c r="B48" s="233"/>
      <c r="C48" s="233"/>
      <c r="D48" s="240" t="s">
        <v>201</v>
      </c>
      <c r="E48" s="235">
        <v>-4959</v>
      </c>
      <c r="F48" s="236">
        <v>-6666.5</v>
      </c>
      <c r="G48" s="235"/>
      <c r="H48" s="235"/>
      <c r="I48" s="235"/>
      <c r="J48" s="235"/>
      <c r="K48" s="235"/>
      <c r="L48" s="235"/>
      <c r="M48" s="235"/>
      <c r="N48" s="235"/>
      <c r="O48" s="235"/>
      <c r="P48" s="248"/>
      <c r="Q48" s="248"/>
      <c r="R48" s="248"/>
    </row>
    <row r="49" spans="1:18">
      <c r="A49" s="233"/>
      <c r="B49" s="233"/>
      <c r="C49" s="233"/>
      <c r="D49" s="240" t="s">
        <v>194</v>
      </c>
      <c r="E49" s="235">
        <v>39978.800000000003</v>
      </c>
      <c r="F49" s="236">
        <v>36474.400000000001</v>
      </c>
      <c r="G49" s="235"/>
      <c r="H49" s="235"/>
      <c r="I49" s="235"/>
      <c r="J49" s="235"/>
      <c r="K49" s="235"/>
      <c r="L49" s="235"/>
      <c r="M49" s="235"/>
      <c r="N49" s="235"/>
      <c r="O49" s="235"/>
      <c r="P49" s="248"/>
      <c r="Q49" s="248"/>
    </row>
    <row r="50" spans="1:18">
      <c r="A50" s="233"/>
      <c r="B50" s="233"/>
      <c r="C50" s="233"/>
      <c r="D50" s="240" t="s">
        <v>202</v>
      </c>
      <c r="E50" s="235">
        <v>-165938.5</v>
      </c>
      <c r="F50" s="236">
        <v>-155187</v>
      </c>
      <c r="G50" s="235"/>
      <c r="H50" s="235"/>
      <c r="I50" s="235"/>
      <c r="J50" s="235"/>
      <c r="K50" s="235"/>
      <c r="L50" s="235"/>
      <c r="M50" s="235"/>
      <c r="N50" s="235"/>
      <c r="O50" s="235"/>
      <c r="P50" s="248"/>
      <c r="Q50" s="248"/>
      <c r="R50" s="248"/>
    </row>
    <row r="51" spans="1:18">
      <c r="A51" s="233"/>
      <c r="B51" s="233"/>
      <c r="C51" s="233"/>
      <c r="D51" s="240" t="s">
        <v>203</v>
      </c>
      <c r="E51" s="235" t="s">
        <v>198</v>
      </c>
      <c r="F51" s="235" t="s">
        <v>198</v>
      </c>
      <c r="G51" s="235"/>
      <c r="H51" s="235"/>
      <c r="I51" s="235"/>
      <c r="J51" s="235"/>
      <c r="K51" s="235"/>
      <c r="L51" s="235"/>
      <c r="M51" s="235"/>
      <c r="N51" s="235"/>
      <c r="O51" s="235"/>
      <c r="P51" s="248"/>
      <c r="Q51" s="248"/>
    </row>
    <row r="52" spans="1:18">
      <c r="A52" s="233"/>
      <c r="B52" s="233"/>
      <c r="C52" s="233"/>
      <c r="D52" s="240" t="s">
        <v>204</v>
      </c>
      <c r="E52" s="235">
        <v>9055.5</v>
      </c>
      <c r="F52" s="236">
        <v>6547</v>
      </c>
      <c r="G52" s="235"/>
      <c r="H52" s="235"/>
      <c r="I52" s="235"/>
      <c r="J52" s="235"/>
      <c r="K52" s="235"/>
      <c r="L52" s="235"/>
      <c r="M52" s="235"/>
      <c r="N52" s="235"/>
      <c r="O52" s="235"/>
      <c r="P52" s="248"/>
      <c r="Q52" s="248"/>
      <c r="R52" s="248"/>
    </row>
    <row r="53" spans="1:18" ht="15" thickBot="1">
      <c r="A53" s="233"/>
      <c r="B53" s="233"/>
      <c r="C53" s="233"/>
      <c r="D53" s="243" t="s">
        <v>205</v>
      </c>
      <c r="E53" s="246">
        <v>186557.8</v>
      </c>
      <c r="F53" s="246">
        <v>160799.40000000002</v>
      </c>
      <c r="G53" s="251"/>
      <c r="H53" s="251"/>
      <c r="I53" s="251"/>
      <c r="J53" s="251"/>
      <c r="K53" s="251"/>
      <c r="L53" s="251"/>
      <c r="M53" s="251"/>
      <c r="N53" s="251"/>
      <c r="O53" s="251"/>
      <c r="P53" s="95"/>
      <c r="Q53" s="95"/>
      <c r="R53" s="248"/>
    </row>
    <row r="54" spans="1:18">
      <c r="A54" s="233"/>
      <c r="B54" s="233"/>
      <c r="C54" s="233"/>
      <c r="D54" s="247" t="s">
        <v>206</v>
      </c>
      <c r="E54" s="235"/>
      <c r="F54" s="235"/>
      <c r="G54" s="235"/>
      <c r="H54" s="235"/>
      <c r="I54" s="235"/>
      <c r="J54" s="235"/>
      <c r="K54" s="235"/>
      <c r="L54" s="235"/>
      <c r="M54" s="235"/>
      <c r="N54" s="235"/>
      <c r="O54" s="235"/>
      <c r="P54" s="233"/>
      <c r="Q54" s="233"/>
    </row>
    <row r="55" spans="1:18">
      <c r="A55" s="233"/>
      <c r="B55" s="233"/>
      <c r="C55" s="233"/>
      <c r="D55" s="239"/>
      <c r="E55" s="235"/>
      <c r="F55" s="235"/>
      <c r="G55" s="235"/>
      <c r="H55" s="235"/>
      <c r="I55" s="235"/>
      <c r="J55" s="235"/>
      <c r="K55" s="235"/>
      <c r="L55" s="235"/>
      <c r="M55" s="235"/>
      <c r="N55" s="235"/>
      <c r="O55" s="235"/>
      <c r="P55" s="233"/>
      <c r="Q55" s="233"/>
    </row>
    <row r="56" spans="1:18">
      <c r="A56" s="233"/>
      <c r="B56" s="233"/>
      <c r="C56" s="233"/>
      <c r="D56" s="239"/>
      <c r="E56" s="235"/>
      <c r="F56" s="235"/>
      <c r="G56" s="235"/>
      <c r="H56" s="235"/>
      <c r="I56" s="235"/>
      <c r="J56" s="235"/>
      <c r="K56" s="235"/>
      <c r="L56" s="235"/>
      <c r="M56" s="235"/>
      <c r="N56" s="235"/>
      <c r="O56" s="235"/>
      <c r="P56" s="233"/>
      <c r="Q56" s="233"/>
    </row>
    <row r="57" spans="1:18" ht="15" thickBot="1">
      <c r="A57" s="233"/>
      <c r="B57" s="233"/>
      <c r="C57" s="233"/>
      <c r="D57" s="243" t="s">
        <v>207</v>
      </c>
      <c r="E57" s="177" t="s">
        <v>471</v>
      </c>
      <c r="F57" s="177" t="s">
        <v>181</v>
      </c>
      <c r="G57" s="250"/>
      <c r="H57" s="250"/>
      <c r="I57" s="250"/>
      <c r="J57" s="250"/>
      <c r="K57" s="250"/>
      <c r="L57" s="250"/>
      <c r="M57" s="250"/>
      <c r="N57" s="250"/>
      <c r="O57" s="250"/>
      <c r="P57" s="95"/>
      <c r="Q57" s="95"/>
      <c r="R57" s="248"/>
    </row>
    <row r="58" spans="1:18">
      <c r="A58" s="233"/>
      <c r="B58" s="233"/>
      <c r="C58" s="233"/>
      <c r="D58" s="240" t="s">
        <v>208</v>
      </c>
      <c r="E58" s="235">
        <v>22318</v>
      </c>
      <c r="F58" s="236">
        <v>19939</v>
      </c>
      <c r="G58" s="235"/>
      <c r="H58" s="235"/>
      <c r="I58" s="235"/>
      <c r="J58" s="235"/>
      <c r="K58" s="235"/>
      <c r="L58" s="235"/>
      <c r="M58" s="235"/>
      <c r="N58" s="235"/>
      <c r="O58" s="235"/>
      <c r="P58" s="248"/>
      <c r="Q58" s="248"/>
      <c r="R58" s="248"/>
    </row>
    <row r="59" spans="1:18">
      <c r="A59" s="233"/>
      <c r="B59" s="233"/>
      <c r="C59" s="233"/>
      <c r="D59" s="240" t="s">
        <v>209</v>
      </c>
      <c r="E59" s="235">
        <v>186557.8</v>
      </c>
      <c r="F59" s="236">
        <v>160799.40000000002</v>
      </c>
      <c r="G59" s="235"/>
      <c r="H59" s="235"/>
      <c r="I59" s="235"/>
      <c r="J59" s="235"/>
      <c r="K59" s="235"/>
      <c r="L59" s="235"/>
      <c r="M59" s="235"/>
      <c r="N59" s="235"/>
      <c r="O59" s="235"/>
      <c r="P59" s="248"/>
      <c r="Q59" s="248"/>
      <c r="R59" s="248"/>
    </row>
    <row r="60" spans="1:18" ht="15" thickBot="1">
      <c r="A60" s="233"/>
      <c r="B60" s="233"/>
      <c r="C60" s="233"/>
      <c r="D60" s="243" t="s">
        <v>207</v>
      </c>
      <c r="E60" s="244">
        <v>0.11963048449327769</v>
      </c>
      <c r="F60" s="244">
        <v>0.12399921890255808</v>
      </c>
      <c r="G60" s="251"/>
      <c r="H60" s="251"/>
      <c r="I60" s="251"/>
      <c r="J60" s="251"/>
      <c r="K60" s="251"/>
      <c r="L60" s="251"/>
      <c r="M60" s="251"/>
      <c r="N60" s="251"/>
      <c r="O60" s="251"/>
      <c r="P60" s="95"/>
      <c r="Q60" s="95"/>
      <c r="R60" s="248"/>
    </row>
    <row r="61" spans="1:18">
      <c r="A61" s="233"/>
      <c r="B61" s="233"/>
      <c r="C61" s="233"/>
      <c r="D61" s="239"/>
      <c r="E61" s="235"/>
      <c r="F61" s="235"/>
      <c r="G61" s="235"/>
      <c r="H61" s="235"/>
      <c r="I61" s="235"/>
      <c r="J61" s="235"/>
      <c r="K61" s="235"/>
      <c r="L61" s="235"/>
      <c r="M61" s="235"/>
      <c r="N61" s="235"/>
      <c r="O61" s="235"/>
      <c r="P61" s="233"/>
      <c r="Q61" s="233"/>
    </row>
    <row r="62" spans="1:18">
      <c r="A62" s="233"/>
      <c r="B62" s="233"/>
      <c r="C62" s="233"/>
      <c r="D62" s="239"/>
      <c r="E62" s="235"/>
      <c r="F62" s="235"/>
      <c r="G62" s="235"/>
      <c r="H62" s="235"/>
      <c r="I62" s="235"/>
      <c r="J62" s="235"/>
      <c r="K62" s="235"/>
      <c r="L62" s="235"/>
      <c r="M62" s="235"/>
      <c r="N62" s="235"/>
      <c r="O62" s="235"/>
      <c r="P62" s="233"/>
      <c r="Q62" s="233"/>
    </row>
    <row r="63" spans="1:18">
      <c r="A63" s="233"/>
      <c r="B63" s="233"/>
      <c r="C63" s="233"/>
      <c r="D63" s="239"/>
      <c r="E63" s="235"/>
      <c r="F63" s="235"/>
      <c r="G63" s="235"/>
      <c r="H63" s="235"/>
      <c r="I63" s="235"/>
      <c r="J63" s="235"/>
      <c r="K63" s="235"/>
      <c r="L63" s="235"/>
      <c r="M63" s="235"/>
      <c r="N63" s="235"/>
      <c r="O63" s="235"/>
      <c r="P63" s="233"/>
      <c r="Q63" s="233"/>
    </row>
    <row r="64" spans="1:18" ht="15" thickBot="1">
      <c r="A64" s="233"/>
      <c r="B64" s="233"/>
      <c r="C64" s="233"/>
      <c r="D64" s="243" t="s">
        <v>210</v>
      </c>
      <c r="E64" s="177" t="s">
        <v>474</v>
      </c>
      <c r="F64" s="177" t="s">
        <v>213</v>
      </c>
      <c r="G64" s="250"/>
      <c r="H64" s="250"/>
      <c r="I64" s="250"/>
      <c r="J64" s="250"/>
      <c r="K64" s="250"/>
      <c r="L64" s="250"/>
      <c r="M64" s="250"/>
      <c r="N64" s="250"/>
      <c r="O64" s="250"/>
      <c r="P64" s="95"/>
      <c r="Q64" s="95"/>
      <c r="R64" s="248"/>
    </row>
    <row r="65" spans="1:18">
      <c r="A65" s="233"/>
      <c r="B65" s="233"/>
      <c r="C65" s="233"/>
      <c r="D65" s="240" t="s">
        <v>211</v>
      </c>
      <c r="E65" s="235">
        <v>142199</v>
      </c>
      <c r="F65" s="236">
        <v>130485</v>
      </c>
      <c r="G65" s="235"/>
      <c r="H65" s="235"/>
      <c r="I65" s="235"/>
      <c r="J65" s="235"/>
      <c r="K65" s="235"/>
      <c r="L65" s="235"/>
      <c r="M65" s="235"/>
      <c r="N65" s="235"/>
      <c r="O65" s="235"/>
      <c r="P65" s="248"/>
      <c r="Q65" s="248"/>
      <c r="R65" s="248"/>
    </row>
    <row r="66" spans="1:18">
      <c r="A66" s="233"/>
      <c r="B66" s="233"/>
      <c r="C66" s="233"/>
      <c r="D66" s="240" t="s">
        <v>196</v>
      </c>
      <c r="E66" s="235">
        <v>388235</v>
      </c>
      <c r="F66" s="236">
        <v>356362</v>
      </c>
      <c r="G66" s="235"/>
      <c r="H66" s="235"/>
      <c r="I66" s="235"/>
      <c r="J66" s="235"/>
      <c r="K66" s="235"/>
      <c r="L66" s="235"/>
      <c r="M66" s="235"/>
      <c r="N66" s="235"/>
      <c r="O66" s="235"/>
      <c r="P66" s="248"/>
      <c r="Q66" s="248"/>
      <c r="R66" s="248"/>
    </row>
    <row r="67" spans="1:18" ht="15" thickBot="1">
      <c r="A67" s="233"/>
      <c r="B67" s="233"/>
      <c r="C67" s="233"/>
      <c r="D67" s="243" t="s">
        <v>210</v>
      </c>
      <c r="E67" s="244">
        <v>0.36627042899274925</v>
      </c>
      <c r="F67" s="244">
        <v>0.36615856909547034</v>
      </c>
      <c r="G67" s="251"/>
      <c r="H67" s="251"/>
      <c r="I67" s="251"/>
      <c r="J67" s="251"/>
      <c r="K67" s="251"/>
      <c r="L67" s="251"/>
      <c r="M67" s="251"/>
      <c r="N67" s="251"/>
      <c r="O67" s="251"/>
      <c r="P67" s="95"/>
      <c r="Q67" s="95"/>
      <c r="R67" s="248"/>
    </row>
    <row r="68" spans="1:18">
      <c r="A68" s="233"/>
      <c r="B68" s="233"/>
      <c r="C68" s="233"/>
      <c r="D68" s="239"/>
      <c r="E68" s="235"/>
      <c r="F68" s="235"/>
      <c r="G68" s="235"/>
      <c r="H68" s="235"/>
      <c r="I68" s="235"/>
      <c r="J68" s="235"/>
      <c r="K68" s="235"/>
      <c r="L68" s="235"/>
      <c r="M68" s="235"/>
      <c r="N68" s="235"/>
      <c r="O68" s="235"/>
      <c r="P68" s="233"/>
      <c r="Q68" s="233"/>
    </row>
    <row r="69" spans="1:18">
      <c r="A69" s="233"/>
      <c r="B69" s="233"/>
      <c r="C69" s="233"/>
      <c r="D69" s="239"/>
      <c r="E69" s="235"/>
      <c r="F69" s="235"/>
      <c r="G69" s="235"/>
      <c r="H69" s="235"/>
      <c r="I69" s="235"/>
      <c r="J69" s="235"/>
      <c r="K69" s="235"/>
      <c r="L69" s="235"/>
      <c r="M69" s="235"/>
      <c r="N69" s="235"/>
      <c r="O69" s="235"/>
      <c r="P69" s="233"/>
      <c r="Q69" s="233"/>
    </row>
    <row r="70" spans="1:18" ht="15" thickBot="1">
      <c r="A70" s="233"/>
      <c r="B70" s="233"/>
      <c r="C70" s="233"/>
      <c r="D70" s="243" t="s">
        <v>212</v>
      </c>
      <c r="E70" s="177" t="s">
        <v>474</v>
      </c>
      <c r="F70" s="177" t="s">
        <v>213</v>
      </c>
      <c r="H70" s="250"/>
      <c r="I70" s="250"/>
      <c r="J70" s="250"/>
      <c r="K70" s="250"/>
      <c r="L70" s="250"/>
      <c r="M70" s="250"/>
      <c r="N70" s="250"/>
      <c r="O70" s="250"/>
      <c r="P70" s="95"/>
      <c r="Q70" s="95"/>
      <c r="R70" s="248"/>
    </row>
    <row r="71" spans="1:18">
      <c r="A71" s="233"/>
      <c r="B71" s="233"/>
      <c r="C71" s="233"/>
      <c r="D71" s="240" t="s">
        <v>200</v>
      </c>
      <c r="E71" s="235">
        <v>56373</v>
      </c>
      <c r="F71" s="236">
        <v>47861</v>
      </c>
      <c r="H71" s="235"/>
      <c r="I71" s="235"/>
      <c r="J71" s="235"/>
      <c r="K71" s="235"/>
      <c r="L71" s="235"/>
      <c r="M71" s="235"/>
      <c r="N71" s="235"/>
      <c r="O71" s="235"/>
      <c r="P71" s="248"/>
      <c r="Q71" s="248"/>
      <c r="R71" s="248"/>
    </row>
    <row r="72" spans="1:18">
      <c r="A72" s="233"/>
      <c r="B72" s="233"/>
      <c r="C72" s="233"/>
      <c r="D72" s="240" t="s">
        <v>201</v>
      </c>
      <c r="E72" s="236" t="s">
        <v>124</v>
      </c>
      <c r="F72" s="236">
        <v>9918</v>
      </c>
      <c r="H72" s="235"/>
      <c r="I72" s="235"/>
      <c r="J72" s="235"/>
      <c r="K72" s="235"/>
      <c r="L72" s="235"/>
      <c r="M72" s="235"/>
      <c r="N72" s="235"/>
      <c r="O72" s="235"/>
      <c r="P72" s="248"/>
      <c r="Q72" s="248"/>
      <c r="R72" s="248"/>
    </row>
    <row r="73" spans="1:18">
      <c r="A73" s="233"/>
      <c r="B73" s="233"/>
      <c r="C73" s="233"/>
      <c r="D73" s="240" t="s">
        <v>214</v>
      </c>
      <c r="E73" s="235">
        <v>-3885</v>
      </c>
      <c r="F73" s="236">
        <v>-4562</v>
      </c>
      <c r="H73" s="235"/>
      <c r="I73" s="235"/>
      <c r="J73" s="235"/>
      <c r="K73" s="235"/>
      <c r="L73" s="235"/>
      <c r="M73" s="235"/>
      <c r="N73" s="235"/>
      <c r="O73" s="235"/>
      <c r="P73" s="248"/>
      <c r="Q73" s="248"/>
      <c r="R73" s="248"/>
    </row>
    <row r="74" spans="1:18" ht="16.5">
      <c r="A74" s="233"/>
      <c r="B74" s="233"/>
      <c r="C74" s="233"/>
      <c r="D74" s="240" t="s">
        <v>215</v>
      </c>
      <c r="E74" s="235">
        <v>-18590</v>
      </c>
      <c r="F74" s="236">
        <v>-18121</v>
      </c>
      <c r="H74" s="235"/>
      <c r="I74" s="235"/>
      <c r="J74" s="235"/>
      <c r="K74" s="235"/>
      <c r="L74" s="235"/>
      <c r="M74" s="235"/>
      <c r="N74" s="235"/>
      <c r="O74" s="235"/>
      <c r="P74" s="248"/>
      <c r="Q74" s="248"/>
      <c r="R74" s="248"/>
    </row>
    <row r="75" spans="1:18">
      <c r="A75" s="233"/>
      <c r="B75" s="233"/>
      <c r="C75" s="233"/>
      <c r="D75" s="240" t="s">
        <v>475</v>
      </c>
      <c r="E75" s="236" t="s">
        <v>124</v>
      </c>
      <c r="F75" s="236" t="s">
        <v>124</v>
      </c>
      <c r="H75" s="235"/>
      <c r="I75" s="235"/>
      <c r="J75" s="235"/>
      <c r="K75" s="235"/>
      <c r="L75" s="235"/>
      <c r="M75" s="235"/>
      <c r="N75" s="235"/>
      <c r="O75" s="235"/>
      <c r="P75" s="248"/>
      <c r="Q75" s="248"/>
      <c r="R75" s="248"/>
    </row>
    <row r="76" spans="1:18">
      <c r="A76" s="233"/>
      <c r="B76" s="233"/>
      <c r="C76" s="233"/>
      <c r="D76" s="240" t="s">
        <v>216</v>
      </c>
      <c r="E76" s="235">
        <v>-1059</v>
      </c>
      <c r="F76" s="236">
        <v>-937</v>
      </c>
      <c r="H76" s="235"/>
      <c r="I76" s="235"/>
      <c r="J76" s="235"/>
      <c r="K76" s="235"/>
      <c r="L76" s="235"/>
      <c r="M76" s="235"/>
      <c r="N76" s="235"/>
      <c r="O76" s="235"/>
      <c r="P76" s="248"/>
      <c r="Q76" s="248"/>
      <c r="R76" s="248"/>
    </row>
    <row r="77" spans="1:18">
      <c r="A77" s="233"/>
      <c r="B77" s="233"/>
      <c r="C77" s="233"/>
      <c r="D77" s="240" t="s">
        <v>217</v>
      </c>
      <c r="E77" s="235">
        <v>-5724</v>
      </c>
      <c r="F77" s="236">
        <v>-6672</v>
      </c>
      <c r="H77" s="235"/>
      <c r="I77" s="235"/>
      <c r="J77" s="235"/>
      <c r="K77" s="235"/>
      <c r="L77" s="235"/>
      <c r="M77" s="235"/>
      <c r="N77" s="235"/>
      <c r="O77" s="235"/>
      <c r="P77" s="248"/>
      <c r="Q77" s="248"/>
      <c r="R77" s="248"/>
    </row>
    <row r="78" spans="1:18" ht="17" thickBot="1">
      <c r="A78" s="233"/>
      <c r="B78" s="233"/>
      <c r="C78" s="233"/>
      <c r="D78" s="243" t="s">
        <v>477</v>
      </c>
      <c r="E78" s="246">
        <v>27115</v>
      </c>
      <c r="F78" s="246">
        <v>27487</v>
      </c>
      <c r="H78" s="252"/>
      <c r="I78" s="252"/>
      <c r="J78" s="252"/>
      <c r="K78" s="252"/>
      <c r="L78" s="252"/>
      <c r="M78" s="252"/>
      <c r="N78" s="252"/>
      <c r="O78" s="252"/>
      <c r="P78" s="95"/>
      <c r="Q78" s="95"/>
      <c r="R78" s="248"/>
    </row>
    <row r="79" spans="1:18">
      <c r="A79" s="233"/>
      <c r="B79" s="233"/>
      <c r="C79" s="233"/>
      <c r="D79" s="239"/>
      <c r="E79" s="235"/>
      <c r="F79" s="235"/>
      <c r="G79" s="235"/>
      <c r="H79" s="235"/>
      <c r="I79" s="235"/>
      <c r="J79" s="235"/>
      <c r="K79" s="235"/>
      <c r="L79" s="235"/>
      <c r="M79" s="235"/>
      <c r="N79" s="235"/>
      <c r="O79" s="235"/>
      <c r="P79" s="233"/>
      <c r="Q79" s="233"/>
    </row>
    <row r="80" spans="1:18" ht="53.5">
      <c r="A80" s="233"/>
      <c r="B80" s="233"/>
      <c r="C80" s="233"/>
      <c r="D80" s="247" t="s">
        <v>478</v>
      </c>
      <c r="E80" s="235"/>
      <c r="F80" s="235"/>
      <c r="G80" s="235"/>
      <c r="H80" s="235"/>
      <c r="I80" s="235"/>
      <c r="J80" s="235"/>
      <c r="K80" s="235"/>
      <c r="L80" s="235"/>
      <c r="M80" s="235"/>
      <c r="N80" s="235"/>
      <c r="O80" s="235"/>
      <c r="P80" s="233"/>
      <c r="Q80" s="233"/>
    </row>
    <row r="81" spans="1:18">
      <c r="A81" s="233"/>
      <c r="B81" s="233"/>
      <c r="C81" s="233"/>
      <c r="D81" s="239"/>
      <c r="E81" s="235"/>
      <c r="F81" s="235"/>
      <c r="G81" s="235"/>
      <c r="H81" s="235"/>
      <c r="I81" s="235"/>
      <c r="J81" s="235"/>
      <c r="K81" s="235"/>
      <c r="L81" s="235"/>
      <c r="M81" s="235"/>
      <c r="N81" s="235"/>
      <c r="O81" s="235"/>
      <c r="P81" s="233"/>
      <c r="Q81" s="233"/>
    </row>
    <row r="82" spans="1:18" ht="15" thickBot="1">
      <c r="A82" s="233"/>
      <c r="B82" s="233"/>
      <c r="C82" s="233"/>
      <c r="D82" s="243" t="s">
        <v>66</v>
      </c>
      <c r="E82" s="177" t="s">
        <v>474</v>
      </c>
      <c r="F82" s="177" t="s">
        <v>213</v>
      </c>
      <c r="G82" s="250"/>
      <c r="H82" s="250"/>
      <c r="I82" s="250"/>
      <c r="J82" s="250"/>
      <c r="K82" s="250"/>
      <c r="L82" s="250"/>
      <c r="M82" s="250"/>
      <c r="N82" s="250"/>
      <c r="O82" s="250"/>
      <c r="P82" s="95"/>
      <c r="Q82" s="95"/>
      <c r="R82" s="248"/>
    </row>
    <row r="83" spans="1:18">
      <c r="A83" s="233"/>
      <c r="B83" s="233"/>
      <c r="C83" s="233"/>
      <c r="D83" s="240" t="s">
        <v>200</v>
      </c>
      <c r="E83" s="235">
        <v>56373</v>
      </c>
      <c r="F83" s="236">
        <v>47861</v>
      </c>
      <c r="G83" s="235"/>
      <c r="H83" s="235"/>
      <c r="I83" s="235"/>
      <c r="J83" s="235"/>
      <c r="K83" s="235"/>
      <c r="L83" s="235"/>
      <c r="M83" s="235"/>
      <c r="N83" s="235"/>
      <c r="O83" s="235"/>
      <c r="P83" s="248"/>
      <c r="Q83" s="248"/>
      <c r="R83" s="248"/>
    </row>
    <row r="84" spans="1:18">
      <c r="A84" s="233"/>
      <c r="B84" s="233"/>
      <c r="C84" s="233"/>
      <c r="D84" s="240" t="s">
        <v>218</v>
      </c>
      <c r="E84" s="235">
        <v>32176</v>
      </c>
      <c r="F84" s="236">
        <v>17242</v>
      </c>
      <c r="G84" s="235"/>
      <c r="H84" s="235"/>
      <c r="I84" s="235"/>
      <c r="J84" s="235"/>
      <c r="K84" s="235"/>
      <c r="L84" s="235"/>
      <c r="M84" s="235"/>
      <c r="N84" s="235"/>
      <c r="O84" s="235"/>
      <c r="P84" s="248"/>
      <c r="Q84" s="248"/>
      <c r="R84" s="248"/>
    </row>
    <row r="85" spans="1:18">
      <c r="A85" s="233"/>
      <c r="B85" s="233"/>
      <c r="C85" s="233"/>
      <c r="D85" s="240" t="s">
        <v>201</v>
      </c>
      <c r="E85" s="235" t="s">
        <v>124</v>
      </c>
      <c r="F85" s="236">
        <v>9918</v>
      </c>
      <c r="G85" s="235"/>
      <c r="H85" s="235"/>
      <c r="I85" s="235"/>
      <c r="J85" s="235"/>
      <c r="K85" s="235"/>
      <c r="L85" s="235"/>
      <c r="M85" s="235"/>
      <c r="N85" s="235"/>
      <c r="O85" s="235"/>
      <c r="P85" s="248"/>
      <c r="Q85" s="248"/>
      <c r="R85" s="248"/>
    </row>
    <row r="86" spans="1:18" ht="15" thickBot="1">
      <c r="A86" s="233"/>
      <c r="B86" s="233"/>
      <c r="C86" s="233"/>
      <c r="D86" s="243" t="s">
        <v>66</v>
      </c>
      <c r="E86" s="246">
        <v>88549</v>
      </c>
      <c r="F86" s="246">
        <v>75021</v>
      </c>
      <c r="G86" s="252"/>
      <c r="H86" s="252"/>
      <c r="I86" s="252"/>
      <c r="J86" s="252"/>
      <c r="K86" s="252"/>
      <c r="L86" s="252"/>
      <c r="M86" s="252"/>
      <c r="N86" s="252"/>
      <c r="O86" s="252"/>
      <c r="P86" s="95"/>
      <c r="Q86" s="95"/>
      <c r="R86" s="248"/>
    </row>
    <row r="87" spans="1:18">
      <c r="A87" s="233"/>
      <c r="B87" s="233"/>
      <c r="C87" s="233"/>
      <c r="D87" s="239"/>
      <c r="E87" s="235"/>
      <c r="F87" s="235"/>
      <c r="G87" s="235"/>
      <c r="H87" s="235"/>
      <c r="I87" s="235"/>
      <c r="J87" s="235"/>
      <c r="K87" s="235"/>
      <c r="L87" s="235"/>
      <c r="M87" s="235"/>
      <c r="N87" s="235"/>
      <c r="O87" s="235"/>
      <c r="P87" s="233"/>
      <c r="Q87" s="233"/>
    </row>
    <row r="88" spans="1:18">
      <c r="A88" s="233"/>
      <c r="B88" s="233"/>
      <c r="C88" s="233"/>
      <c r="D88" s="239"/>
      <c r="E88" s="235"/>
      <c r="F88" s="235"/>
      <c r="G88" s="235"/>
      <c r="H88" s="235"/>
      <c r="I88" s="235"/>
      <c r="J88" s="235"/>
      <c r="K88" s="235"/>
      <c r="L88" s="235"/>
      <c r="M88" s="235"/>
      <c r="N88" s="235"/>
      <c r="O88" s="235"/>
      <c r="P88" s="233"/>
      <c r="Q88" s="233"/>
    </row>
    <row r="89" spans="1:18">
      <c r="A89" s="233"/>
      <c r="B89" s="233"/>
      <c r="C89" s="233"/>
      <c r="D89" s="239"/>
      <c r="E89" s="235"/>
      <c r="F89" s="235"/>
      <c r="G89" s="235"/>
      <c r="H89" s="235"/>
      <c r="I89" s="235"/>
      <c r="J89" s="235"/>
      <c r="K89" s="235"/>
      <c r="L89" s="235"/>
      <c r="M89" s="235"/>
      <c r="N89" s="235"/>
      <c r="O89" s="235"/>
      <c r="P89" s="233"/>
      <c r="Q89" s="233"/>
    </row>
    <row r="90" spans="1:18">
      <c r="A90" s="233"/>
      <c r="B90" s="233"/>
      <c r="C90" s="233"/>
      <c r="D90" s="241"/>
      <c r="E90" s="238"/>
      <c r="F90" s="238"/>
      <c r="G90" s="234"/>
      <c r="H90" s="234"/>
      <c r="I90" s="234"/>
      <c r="J90" s="234"/>
      <c r="K90" s="234"/>
      <c r="L90" s="234"/>
      <c r="M90" s="234"/>
      <c r="N90" s="234"/>
      <c r="O90" s="234"/>
      <c r="P90" s="233"/>
      <c r="Q90" s="233"/>
    </row>
  </sheetData>
  <phoneticPr fontId="6" type="noConversion"/>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C60F-E8B8-4754-A889-B71FB97F89D4}">
  <dimension ref="D1:Y41"/>
  <sheetViews>
    <sheetView showGridLines="0" zoomScaleNormal="100" workbookViewId="0">
      <pane xSplit="4" ySplit="9" topLeftCell="S10" activePane="bottomRight" state="frozen"/>
      <selection pane="topRight" activeCell="W28" sqref="W28:W32"/>
      <selection pane="bottomLeft" activeCell="W28" sqref="W28:W32"/>
      <selection pane="bottomRight" activeCell="D1" sqref="D1"/>
    </sheetView>
  </sheetViews>
  <sheetFormatPr defaultColWidth="8.7265625" defaultRowHeight="14.5"/>
  <cols>
    <col min="1" max="2" width="8.7265625" style="4"/>
    <col min="3" max="3" width="8.453125" style="4" customWidth="1"/>
    <col min="4" max="4" width="24.1796875" style="4" bestFit="1" customWidth="1"/>
    <col min="5" max="10" width="7.81640625" style="4" bestFit="1" customWidth="1"/>
    <col min="11" max="12" width="8.54296875" style="4" bestFit="1" customWidth="1"/>
    <col min="13" max="13" width="10" style="4" bestFit="1" customWidth="1"/>
    <col min="14" max="16" width="8.81640625" style="4" bestFit="1" customWidth="1"/>
    <col min="17" max="16384" width="8.7265625" style="4"/>
  </cols>
  <sheetData>
    <row r="1" spans="4:24">
      <c r="D1" s="8" t="s">
        <v>5</v>
      </c>
    </row>
    <row r="8" spans="4:24">
      <c r="E8" s="289"/>
      <c r="F8" s="289"/>
      <c r="G8" s="289"/>
      <c r="H8" s="289"/>
    </row>
    <row r="9" spans="4:24" ht="29.5" thickBot="1">
      <c r="D9" s="26" t="s">
        <v>219</v>
      </c>
      <c r="E9" s="25" t="s">
        <v>142</v>
      </c>
      <c r="F9" s="25" t="s">
        <v>143</v>
      </c>
      <c r="G9" s="24" t="s">
        <v>144</v>
      </c>
      <c r="H9" s="25" t="s">
        <v>145</v>
      </c>
      <c r="I9" s="25" t="s">
        <v>171</v>
      </c>
      <c r="J9" s="25" t="s">
        <v>172</v>
      </c>
      <c r="K9" s="24" t="s">
        <v>173</v>
      </c>
      <c r="L9" s="24" t="s">
        <v>174</v>
      </c>
      <c r="M9" s="24" t="s">
        <v>150</v>
      </c>
      <c r="N9" s="24" t="s">
        <v>151</v>
      </c>
      <c r="O9" s="24" t="s">
        <v>152</v>
      </c>
      <c r="P9" s="24" t="s">
        <v>153</v>
      </c>
      <c r="Q9" s="24" t="s">
        <v>154</v>
      </c>
      <c r="R9" s="24" t="s">
        <v>155</v>
      </c>
      <c r="S9" s="24" t="s">
        <v>156</v>
      </c>
      <c r="T9" s="24" t="s">
        <v>157</v>
      </c>
      <c r="U9" s="24" t="s">
        <v>158</v>
      </c>
      <c r="V9" s="24" t="s">
        <v>159</v>
      </c>
      <c r="W9" s="24" t="s">
        <v>160</v>
      </c>
      <c r="X9" s="24" t="s">
        <v>449</v>
      </c>
    </row>
    <row r="10" spans="4:24">
      <c r="D10" s="27" t="s">
        <v>26</v>
      </c>
      <c r="E10" s="88">
        <v>70593</v>
      </c>
      <c r="F10" s="88">
        <v>52598</v>
      </c>
      <c r="G10" s="88">
        <v>77142</v>
      </c>
      <c r="H10" s="88">
        <v>87945</v>
      </c>
      <c r="I10" s="88">
        <v>87550</v>
      </c>
      <c r="J10" s="88">
        <v>79272</v>
      </c>
      <c r="K10" s="88">
        <v>53549</v>
      </c>
      <c r="L10" s="88">
        <v>73100</v>
      </c>
      <c r="M10" s="88">
        <v>65157</v>
      </c>
      <c r="N10" s="88">
        <v>54613</v>
      </c>
      <c r="O10" s="164">
        <v>46246</v>
      </c>
      <c r="P10" s="164">
        <v>81397</v>
      </c>
      <c r="Q10" s="164">
        <v>72671</v>
      </c>
      <c r="R10" s="164">
        <v>74272</v>
      </c>
      <c r="S10" s="164">
        <v>61826</v>
      </c>
      <c r="T10" s="164">
        <v>86025</v>
      </c>
      <c r="U10" s="164">
        <v>89670</v>
      </c>
      <c r="V10" s="164">
        <v>103964</v>
      </c>
      <c r="W10" s="88">
        <v>80785</v>
      </c>
      <c r="X10" s="88">
        <v>95266</v>
      </c>
    </row>
    <row r="11" spans="4:24">
      <c r="D11" s="7" t="s">
        <v>220</v>
      </c>
      <c r="E11" s="89">
        <v>20780</v>
      </c>
      <c r="F11" s="89">
        <v>44961</v>
      </c>
      <c r="G11" s="89">
        <v>47537</v>
      </c>
      <c r="H11" s="89">
        <v>53339</v>
      </c>
      <c r="I11" s="89">
        <v>45242</v>
      </c>
      <c r="J11" s="89">
        <v>50010</v>
      </c>
      <c r="K11" s="89">
        <v>37358</v>
      </c>
      <c r="L11" s="89">
        <v>39066</v>
      </c>
      <c r="M11" s="89">
        <v>35698</v>
      </c>
      <c r="N11" s="89">
        <v>34535</v>
      </c>
      <c r="O11" s="166">
        <v>47511</v>
      </c>
      <c r="P11" s="166">
        <v>44578</v>
      </c>
      <c r="Q11" s="166">
        <v>36457</v>
      </c>
      <c r="R11" s="166">
        <v>42069</v>
      </c>
      <c r="S11" s="166">
        <v>45402</v>
      </c>
      <c r="T11" s="166">
        <v>46163</v>
      </c>
      <c r="U11" s="166">
        <v>37958</v>
      </c>
      <c r="V11" s="166">
        <v>40204</v>
      </c>
      <c r="W11" s="89">
        <v>34875</v>
      </c>
      <c r="X11" s="89">
        <v>43333</v>
      </c>
    </row>
    <row r="12" spans="4:24">
      <c r="D12" s="7" t="s">
        <v>221</v>
      </c>
      <c r="E12" s="89">
        <v>19485</v>
      </c>
      <c r="F12" s="89">
        <v>23770</v>
      </c>
      <c r="G12" s="89">
        <v>30349</v>
      </c>
      <c r="H12" s="89">
        <v>36525</v>
      </c>
      <c r="I12" s="89">
        <v>27239</v>
      </c>
      <c r="J12" s="89">
        <v>36515</v>
      </c>
      <c r="K12" s="89">
        <v>31611</v>
      </c>
      <c r="L12" s="89">
        <v>26808</v>
      </c>
      <c r="M12" s="89">
        <v>22757</v>
      </c>
      <c r="N12" s="89">
        <v>27828</v>
      </c>
      <c r="O12" s="166">
        <v>21631</v>
      </c>
      <c r="P12" s="166">
        <v>29822</v>
      </c>
      <c r="Q12" s="166">
        <v>26483</v>
      </c>
      <c r="R12" s="166">
        <v>33267</v>
      </c>
      <c r="S12" s="166">
        <v>32375</v>
      </c>
      <c r="T12" s="166">
        <v>36576</v>
      </c>
      <c r="U12" s="166">
        <v>30951</v>
      </c>
      <c r="V12" s="166">
        <v>30061</v>
      </c>
      <c r="W12" s="89">
        <v>28535</v>
      </c>
      <c r="X12" s="89">
        <v>35696</v>
      </c>
    </row>
    <row r="13" spans="4:24">
      <c r="D13" s="28" t="s">
        <v>222</v>
      </c>
      <c r="E13" s="90">
        <v>21031</v>
      </c>
      <c r="F13" s="90">
        <v>16744</v>
      </c>
      <c r="G13" s="90">
        <v>26138</v>
      </c>
      <c r="H13" s="90">
        <v>32776</v>
      </c>
      <c r="I13" s="90">
        <v>25667</v>
      </c>
      <c r="J13" s="90">
        <v>29262</v>
      </c>
      <c r="K13" s="90">
        <v>27374</v>
      </c>
      <c r="L13" s="90">
        <v>29070</v>
      </c>
      <c r="M13" s="90">
        <v>24683</v>
      </c>
      <c r="N13" s="90">
        <v>26030</v>
      </c>
      <c r="O13" s="165">
        <v>22298</v>
      </c>
      <c r="P13" s="165">
        <v>30337</v>
      </c>
      <c r="Q13" s="165">
        <v>27327</v>
      </c>
      <c r="R13" s="165">
        <v>29145</v>
      </c>
      <c r="S13" s="165">
        <v>27864</v>
      </c>
      <c r="T13" s="165">
        <v>30794</v>
      </c>
      <c r="U13" s="165">
        <v>24108</v>
      </c>
      <c r="V13" s="165">
        <v>31157</v>
      </c>
      <c r="W13" s="90">
        <v>28654</v>
      </c>
      <c r="X13" s="90">
        <v>28172</v>
      </c>
    </row>
    <row r="14" spans="4:24">
      <c r="D14" s="7" t="s">
        <v>223</v>
      </c>
      <c r="E14" s="91">
        <v>131889</v>
      </c>
      <c r="F14" s="91">
        <v>138073</v>
      </c>
      <c r="G14" s="91">
        <v>181166</v>
      </c>
      <c r="H14" s="91">
        <v>210585</v>
      </c>
      <c r="I14" s="91">
        <v>185698</v>
      </c>
      <c r="J14" s="91">
        <v>195059</v>
      </c>
      <c r="K14" s="91">
        <v>149892</v>
      </c>
      <c r="L14" s="91">
        <v>168044</v>
      </c>
      <c r="M14" s="91">
        <v>148295</v>
      </c>
      <c r="N14" s="91">
        <v>143006</v>
      </c>
      <c r="O14" s="163">
        <v>137686</v>
      </c>
      <c r="P14" s="163">
        <v>186134</v>
      </c>
      <c r="Q14" s="163">
        <v>162938</v>
      </c>
      <c r="R14" s="163">
        <v>178753</v>
      </c>
      <c r="S14" s="163">
        <v>167467</v>
      </c>
      <c r="T14" s="163">
        <v>199558</v>
      </c>
      <c r="U14" s="163">
        <v>182687</v>
      </c>
      <c r="V14" s="163">
        <f>SUM(V10:V13)</f>
        <v>205386</v>
      </c>
      <c r="W14" s="91">
        <f>SUM(W10:W13)</f>
        <v>172849</v>
      </c>
      <c r="X14" s="91">
        <v>202467</v>
      </c>
    </row>
    <row r="15" spans="4:24">
      <c r="D15" s="7"/>
      <c r="E15" s="12"/>
      <c r="F15" s="12"/>
      <c r="G15" s="12"/>
      <c r="H15" s="12"/>
      <c r="I15" s="12"/>
      <c r="J15" s="12"/>
      <c r="K15" s="12"/>
      <c r="O15" s="161"/>
      <c r="P15" s="161"/>
      <c r="Q15" s="276"/>
      <c r="R15" s="276"/>
      <c r="S15" s="276"/>
      <c r="T15" s="276"/>
      <c r="U15" s="276"/>
      <c r="V15" s="276"/>
      <c r="W15" s="276"/>
      <c r="X15" s="276"/>
    </row>
    <row r="16" spans="4:24">
      <c r="D16" s="28" t="s">
        <v>224</v>
      </c>
      <c r="E16" s="23">
        <v>19412</v>
      </c>
      <c r="F16" s="23">
        <v>18363</v>
      </c>
      <c r="G16" s="23">
        <v>30658</v>
      </c>
      <c r="H16" s="23">
        <v>47003</v>
      </c>
      <c r="I16" s="23">
        <v>46554</v>
      </c>
      <c r="J16" s="23">
        <v>47241</v>
      </c>
      <c r="K16" s="23">
        <v>38287</v>
      </c>
      <c r="L16" s="23">
        <v>57134</v>
      </c>
      <c r="M16" s="23">
        <v>49774</v>
      </c>
      <c r="N16" s="23">
        <v>44187</v>
      </c>
      <c r="O16" s="167">
        <v>34614</v>
      </c>
      <c r="P16" s="167">
        <v>76777</v>
      </c>
      <c r="Q16" s="167">
        <v>67403</v>
      </c>
      <c r="R16" s="167">
        <v>69015</v>
      </c>
      <c r="S16" s="167">
        <v>56810</v>
      </c>
      <c r="T16" s="167">
        <v>72752</v>
      </c>
      <c r="U16" s="167">
        <v>74995</v>
      </c>
      <c r="V16" s="167">
        <f>SUM(V17:V18)</f>
        <v>98673</v>
      </c>
      <c r="W16" s="23">
        <f>SUM(W17:W18)</f>
        <v>83081</v>
      </c>
      <c r="X16" s="23">
        <v>96038</v>
      </c>
    </row>
    <row r="17" spans="4:25">
      <c r="D17" s="19" t="s">
        <v>225</v>
      </c>
      <c r="E17" s="30" t="s">
        <v>124</v>
      </c>
      <c r="F17" s="30" t="s">
        <v>124</v>
      </c>
      <c r="G17" s="30" t="s">
        <v>124</v>
      </c>
      <c r="H17" s="20">
        <v>4659</v>
      </c>
      <c r="I17" s="20">
        <v>3615</v>
      </c>
      <c r="J17" s="20">
        <v>6395</v>
      </c>
      <c r="K17" s="20">
        <v>5414</v>
      </c>
      <c r="L17" s="20">
        <v>10303</v>
      </c>
      <c r="M17" s="20">
        <v>11721</v>
      </c>
      <c r="N17" s="20">
        <v>10499</v>
      </c>
      <c r="O17" s="168">
        <v>10149</v>
      </c>
      <c r="P17" s="168">
        <v>34380</v>
      </c>
      <c r="Q17" s="168">
        <v>30069</v>
      </c>
      <c r="R17" s="168">
        <v>29191</v>
      </c>
      <c r="S17" s="168">
        <v>21369</v>
      </c>
      <c r="T17" s="168">
        <v>32790</v>
      </c>
      <c r="U17" s="168">
        <v>38171</v>
      </c>
      <c r="V17" s="168">
        <v>52589</v>
      </c>
      <c r="W17" s="20">
        <v>42791</v>
      </c>
      <c r="X17" s="20">
        <v>41643</v>
      </c>
    </row>
    <row r="18" spans="4:25">
      <c r="D18" s="28" t="s">
        <v>226</v>
      </c>
      <c r="E18" s="29">
        <v>19412</v>
      </c>
      <c r="F18" s="29">
        <v>18363</v>
      </c>
      <c r="G18" s="29">
        <v>30658</v>
      </c>
      <c r="H18" s="29">
        <v>42344</v>
      </c>
      <c r="I18" s="29">
        <v>42939</v>
      </c>
      <c r="J18" s="29">
        <v>40846</v>
      </c>
      <c r="K18" s="29">
        <v>32873</v>
      </c>
      <c r="L18" s="29">
        <v>46831</v>
      </c>
      <c r="M18" s="29">
        <v>38053</v>
      </c>
      <c r="N18" s="29">
        <v>33688</v>
      </c>
      <c r="O18" s="169">
        <v>24465</v>
      </c>
      <c r="P18" s="169">
        <v>42397</v>
      </c>
      <c r="Q18" s="169">
        <v>37334</v>
      </c>
      <c r="R18" s="169">
        <v>39824</v>
      </c>
      <c r="S18" s="169">
        <v>35441</v>
      </c>
      <c r="T18" s="169">
        <v>39962</v>
      </c>
      <c r="U18" s="169">
        <v>36824</v>
      </c>
      <c r="V18" s="169">
        <v>46084</v>
      </c>
      <c r="W18" s="29">
        <v>40290</v>
      </c>
      <c r="X18" s="29">
        <v>54395</v>
      </c>
    </row>
    <row r="19" spans="4:25">
      <c r="D19" s="7" t="s">
        <v>227</v>
      </c>
      <c r="E19" s="16">
        <v>0.14718437473936416</v>
      </c>
      <c r="F19" s="16">
        <v>0.13299486503516256</v>
      </c>
      <c r="G19" s="16">
        <v>0.16922601371118201</v>
      </c>
      <c r="H19" s="16">
        <v>0.22320203243345918</v>
      </c>
      <c r="I19" s="16">
        <v>0.25069736884619115</v>
      </c>
      <c r="J19" s="16">
        <v>0.24218826098770116</v>
      </c>
      <c r="K19" s="16">
        <v>0.25543057668187763</v>
      </c>
      <c r="L19" s="16">
        <v>0.33999428721049246</v>
      </c>
      <c r="M19" s="16">
        <v>0.33564179507063624</v>
      </c>
      <c r="N19" s="152">
        <v>0.30898703550899964</v>
      </c>
      <c r="O19" s="152">
        <v>0.25139810874017693</v>
      </c>
      <c r="P19" s="152">
        <v>0.41248240514897871</v>
      </c>
      <c r="Q19" s="152">
        <v>0.41367268531588702</v>
      </c>
      <c r="R19" s="152">
        <v>0.38609142224186449</v>
      </c>
      <c r="S19" s="152">
        <v>0.33923101267712447</v>
      </c>
      <c r="T19" s="152">
        <f>T16/T14</f>
        <v>0.36456569017528739</v>
      </c>
      <c r="U19" s="152">
        <f>U16/U14</f>
        <v>0.41051087378959639</v>
      </c>
      <c r="V19" s="152">
        <f>V16/V14</f>
        <v>0.48042709824428148</v>
      </c>
      <c r="W19" s="152">
        <f>W16/W14</f>
        <v>0.48065652679506388</v>
      </c>
      <c r="X19" s="152">
        <v>0.47433902808852801</v>
      </c>
    </row>
    <row r="20" spans="4:25">
      <c r="D20" s="7" t="s">
        <v>228</v>
      </c>
      <c r="E20" s="16"/>
      <c r="F20" s="16"/>
      <c r="G20" s="16"/>
      <c r="H20" s="16">
        <v>2.2124082911888311E-2</v>
      </c>
      <c r="I20" s="16">
        <v>1.9467091729582442E-2</v>
      </c>
      <c r="J20" s="16">
        <v>3.2784952245218116E-2</v>
      </c>
      <c r="K20" s="16">
        <v>3.6119339257598804E-2</v>
      </c>
      <c r="L20" s="16">
        <v>6.1311323224869679E-2</v>
      </c>
      <c r="M20" s="16">
        <v>7.903840318284501E-2</v>
      </c>
      <c r="N20" s="152">
        <v>7.3416500006992708E-2</v>
      </c>
      <c r="O20" s="152">
        <v>7.3711197943145998E-2</v>
      </c>
      <c r="P20" s="152">
        <v>0.18470564217176871</v>
      </c>
      <c r="Q20" s="152">
        <v>0.18454258675078863</v>
      </c>
      <c r="R20" s="152">
        <v>0.16330355294736312</v>
      </c>
      <c r="S20" s="152">
        <v>0.1276012587554563</v>
      </c>
      <c r="T20" s="152">
        <f>T17/T14</f>
        <v>0.16431313202176812</v>
      </c>
      <c r="U20" s="152">
        <f>U17/U14</f>
        <v>0.20894207031699027</v>
      </c>
      <c r="V20" s="152">
        <f>V17/V14</f>
        <v>0.25604958468444783</v>
      </c>
      <c r="W20" s="152">
        <f>W17/W14</f>
        <v>0.24756290172346962</v>
      </c>
      <c r="X20" s="152">
        <v>0.20567796233460267</v>
      </c>
    </row>
    <row r="21" spans="4:25">
      <c r="D21" s="28"/>
      <c r="E21" s="29"/>
      <c r="F21" s="29"/>
      <c r="G21" s="29"/>
      <c r="H21" s="29"/>
      <c r="I21" s="29"/>
      <c r="J21" s="29"/>
      <c r="K21" s="29"/>
      <c r="L21" s="29"/>
      <c r="M21" s="29"/>
      <c r="N21" s="29"/>
      <c r="O21" s="162"/>
      <c r="P21" s="162"/>
      <c r="Q21" s="162"/>
      <c r="R21" s="162"/>
      <c r="S21" s="162"/>
      <c r="T21" s="162"/>
      <c r="U21" s="162"/>
      <c r="V21" s="162"/>
      <c r="W21" s="162"/>
      <c r="X21" s="162"/>
    </row>
    <row r="22" spans="4:25">
      <c r="D22" s="7" t="s">
        <v>24</v>
      </c>
      <c r="E22" s="5">
        <v>142537</v>
      </c>
      <c r="F22" s="5">
        <v>135462</v>
      </c>
      <c r="G22" s="5">
        <v>166343</v>
      </c>
      <c r="H22" s="5">
        <v>218283</v>
      </c>
      <c r="I22" s="5">
        <v>177969</v>
      </c>
      <c r="J22" s="5">
        <v>178924</v>
      </c>
      <c r="K22" s="5">
        <v>128317</v>
      </c>
      <c r="L22" s="5">
        <v>169221</v>
      </c>
      <c r="M22" s="5">
        <v>156694</v>
      </c>
      <c r="N22" s="5">
        <v>135461</v>
      </c>
      <c r="O22" s="106">
        <v>145227</v>
      </c>
      <c r="P22" s="106">
        <v>194320</v>
      </c>
      <c r="Q22" s="106">
        <v>174138</v>
      </c>
      <c r="R22" s="106">
        <v>188662</v>
      </c>
      <c r="S22" s="106">
        <v>165618</v>
      </c>
      <c r="T22" s="106">
        <v>203832</v>
      </c>
      <c r="U22" s="106">
        <v>198436</v>
      </c>
      <c r="V22" s="106">
        <v>205773.99000899002</v>
      </c>
      <c r="W22" s="112">
        <v>171261</v>
      </c>
      <c r="X22" s="112">
        <v>207114</v>
      </c>
    </row>
    <row r="23" spans="4:25">
      <c r="D23" s="7" t="s">
        <v>229</v>
      </c>
      <c r="E23" s="5">
        <v>159311</v>
      </c>
      <c r="F23" s="5">
        <v>131257</v>
      </c>
      <c r="G23" s="5">
        <v>160741</v>
      </c>
      <c r="H23" s="5">
        <v>207239</v>
      </c>
      <c r="I23" s="5">
        <v>185766</v>
      </c>
      <c r="J23" s="5">
        <v>170368</v>
      </c>
      <c r="K23" s="5">
        <v>111042</v>
      </c>
      <c r="L23" s="5">
        <v>174803</v>
      </c>
      <c r="M23" s="5">
        <v>169034</v>
      </c>
      <c r="N23" s="5">
        <v>132127</v>
      </c>
      <c r="O23" s="106">
        <v>145478</v>
      </c>
      <c r="P23" s="106">
        <v>202256</v>
      </c>
      <c r="Q23" s="106">
        <v>181144</v>
      </c>
      <c r="R23" s="106">
        <v>198395</v>
      </c>
      <c r="S23" s="106">
        <v>168971</v>
      </c>
      <c r="T23" s="106">
        <v>218234</v>
      </c>
      <c r="U23" s="106">
        <v>235481</v>
      </c>
      <c r="V23" s="106">
        <v>211940</v>
      </c>
      <c r="W23" s="112">
        <v>146614</v>
      </c>
      <c r="X23" s="112">
        <v>166348</v>
      </c>
    </row>
    <row r="24" spans="4:25">
      <c r="E24" s="33"/>
      <c r="F24" s="33"/>
      <c r="H24" s="5"/>
      <c r="I24" s="33"/>
      <c r="L24" s="5"/>
      <c r="M24" s="7"/>
      <c r="N24" s="197"/>
      <c r="O24" s="161"/>
      <c r="P24" s="5"/>
      <c r="Q24" s="197"/>
      <c r="R24" s="197"/>
      <c r="T24" s="5"/>
      <c r="U24" s="5"/>
      <c r="V24" s="5"/>
      <c r="W24" s="5"/>
      <c r="X24" s="5"/>
    </row>
    <row r="25" spans="4:25">
      <c r="H25" s="5"/>
      <c r="L25" s="5"/>
      <c r="M25" s="7"/>
      <c r="N25" s="197"/>
      <c r="O25" s="161"/>
      <c r="P25" s="5"/>
      <c r="Q25" s="197"/>
      <c r="R25" s="197"/>
      <c r="T25" s="5"/>
      <c r="U25" s="5"/>
      <c r="V25" s="5"/>
      <c r="W25" s="5"/>
      <c r="X25" s="5"/>
    </row>
    <row r="26" spans="4:25">
      <c r="H26" s="152"/>
      <c r="L26" s="152"/>
      <c r="O26" s="161"/>
      <c r="P26" s="152"/>
      <c r="Q26" s="161"/>
      <c r="R26" s="161"/>
      <c r="T26" s="152"/>
      <c r="U26" s="152"/>
      <c r="V26" s="152"/>
      <c r="W26" s="152"/>
      <c r="X26" s="152"/>
    </row>
    <row r="27" spans="4:25" ht="29.5" thickBot="1">
      <c r="D27" s="26" t="s">
        <v>219</v>
      </c>
      <c r="E27" s="25" t="s">
        <v>142</v>
      </c>
      <c r="F27" s="25" t="s">
        <v>143</v>
      </c>
      <c r="G27" s="24" t="s">
        <v>144</v>
      </c>
      <c r="H27" s="25" t="s">
        <v>145</v>
      </c>
      <c r="I27" s="25" t="s">
        <v>171</v>
      </c>
      <c r="J27" s="25" t="s">
        <v>172</v>
      </c>
      <c r="K27" s="24" t="s">
        <v>173</v>
      </c>
      <c r="L27" s="24" t="s">
        <v>174</v>
      </c>
      <c r="M27" s="24" t="s">
        <v>150</v>
      </c>
      <c r="N27" s="24" t="s">
        <v>151</v>
      </c>
      <c r="O27" s="170" t="s">
        <v>152</v>
      </c>
      <c r="P27" s="170" t="s">
        <v>153</v>
      </c>
      <c r="Q27" s="170" t="s">
        <v>154</v>
      </c>
      <c r="R27" s="170" t="s">
        <v>155</v>
      </c>
      <c r="S27" s="170" t="s">
        <v>156</v>
      </c>
      <c r="T27" s="170" t="s">
        <v>157</v>
      </c>
      <c r="U27" s="24" t="s">
        <v>158</v>
      </c>
      <c r="V27" s="24" t="s">
        <v>159</v>
      </c>
      <c r="W27" s="24" t="s">
        <v>160</v>
      </c>
      <c r="X27" s="24" t="s">
        <v>449</v>
      </c>
    </row>
    <row r="28" spans="4:25">
      <c r="D28" s="7" t="s">
        <v>230</v>
      </c>
      <c r="E28" s="6" t="s">
        <v>124</v>
      </c>
      <c r="F28" s="6" t="s">
        <v>124</v>
      </c>
      <c r="G28" s="6" t="s">
        <v>124</v>
      </c>
      <c r="H28" s="5">
        <v>4659</v>
      </c>
      <c r="I28" s="5">
        <v>3615</v>
      </c>
      <c r="J28" s="5">
        <v>6395</v>
      </c>
      <c r="K28" s="5">
        <v>5414</v>
      </c>
      <c r="L28" s="5">
        <v>9107</v>
      </c>
      <c r="M28" s="5">
        <v>8076</v>
      </c>
      <c r="N28" s="5">
        <v>6558</v>
      </c>
      <c r="O28" s="1">
        <v>6470</v>
      </c>
      <c r="P28" s="1">
        <v>21432</v>
      </c>
      <c r="Q28" s="1">
        <v>21091</v>
      </c>
      <c r="R28" s="1">
        <v>17888</v>
      </c>
      <c r="S28" s="1">
        <v>14474</v>
      </c>
      <c r="T28" s="1">
        <v>22213</v>
      </c>
      <c r="U28" s="1">
        <v>17352</v>
      </c>
      <c r="V28" s="1">
        <v>13709</v>
      </c>
      <c r="W28" s="5">
        <v>10749</v>
      </c>
      <c r="X28" s="5">
        <v>11597</v>
      </c>
    </row>
    <row r="29" spans="4:25">
      <c r="D29" s="7" t="s">
        <v>231</v>
      </c>
      <c r="L29" s="5">
        <v>1196</v>
      </c>
      <c r="M29" s="5">
        <v>3645</v>
      </c>
      <c r="N29" s="5">
        <v>3941</v>
      </c>
      <c r="O29" s="1">
        <v>3679</v>
      </c>
      <c r="P29" s="1">
        <v>12948</v>
      </c>
      <c r="Q29" s="1">
        <v>8978</v>
      </c>
      <c r="R29" s="1">
        <v>11303</v>
      </c>
      <c r="S29" s="1">
        <v>6895</v>
      </c>
      <c r="T29" s="1">
        <v>9938</v>
      </c>
      <c r="U29" s="1">
        <v>6049</v>
      </c>
      <c r="V29" s="1">
        <v>4862</v>
      </c>
      <c r="W29" s="5">
        <v>4460</v>
      </c>
      <c r="X29" s="5">
        <v>5009</v>
      </c>
    </row>
    <row r="30" spans="4:25">
      <c r="D30" s="7" t="s">
        <v>232</v>
      </c>
      <c r="L30" s="5"/>
      <c r="M30" s="5"/>
      <c r="N30" s="5"/>
      <c r="O30" s="1"/>
      <c r="P30" s="1"/>
      <c r="Q30" s="1"/>
      <c r="R30" s="1"/>
      <c r="S30" s="1"/>
      <c r="T30" s="1">
        <v>639</v>
      </c>
      <c r="U30" s="1">
        <v>14544</v>
      </c>
      <c r="V30" s="1">
        <v>33278</v>
      </c>
      <c r="W30" s="5">
        <v>27157</v>
      </c>
      <c r="X30" s="5">
        <v>23086</v>
      </c>
    </row>
    <row r="31" spans="4:25">
      <c r="D31" s="7" t="s">
        <v>233</v>
      </c>
      <c r="L31" s="5"/>
      <c r="M31" s="5"/>
      <c r="N31" s="5"/>
      <c r="O31" s="1"/>
      <c r="P31" s="1"/>
      <c r="Q31" s="1"/>
      <c r="R31" s="1"/>
      <c r="S31" s="1"/>
      <c r="T31" s="1"/>
      <c r="U31" s="1"/>
      <c r="V31" s="1"/>
      <c r="W31" s="5">
        <v>125</v>
      </c>
      <c r="X31" s="5">
        <v>1681</v>
      </c>
      <c r="Y31" s="8"/>
    </row>
    <row r="32" spans="4:25">
      <c r="D32" s="7" t="s">
        <v>234</v>
      </c>
      <c r="L32" s="5"/>
      <c r="M32" s="5"/>
      <c r="N32" s="5"/>
      <c r="O32" s="1"/>
      <c r="P32" s="1"/>
      <c r="Q32" s="1"/>
      <c r="R32" s="1"/>
      <c r="S32" s="1"/>
      <c r="T32" s="1"/>
      <c r="U32" s="1">
        <v>226</v>
      </c>
      <c r="V32" s="1">
        <v>740</v>
      </c>
      <c r="W32" s="5">
        <v>300</v>
      </c>
      <c r="X32" s="5">
        <v>270</v>
      </c>
    </row>
    <row r="33" spans="4:24">
      <c r="D33" s="7" t="s">
        <v>235</v>
      </c>
      <c r="E33" s="5">
        <v>36930</v>
      </c>
      <c r="F33" s="5">
        <v>41831</v>
      </c>
      <c r="G33" s="5">
        <v>52330</v>
      </c>
      <c r="H33" s="5">
        <v>60605</v>
      </c>
      <c r="I33" s="5">
        <v>52702</v>
      </c>
      <c r="J33" s="5">
        <v>60798</v>
      </c>
      <c r="K33" s="5">
        <v>49097</v>
      </c>
      <c r="L33" s="5">
        <v>53039</v>
      </c>
      <c r="M33" s="5">
        <v>44874</v>
      </c>
      <c r="N33" s="5">
        <v>48344</v>
      </c>
      <c r="O33" s="1">
        <v>48043</v>
      </c>
      <c r="P33" s="1">
        <v>54077</v>
      </c>
      <c r="Q33" s="1">
        <v>50209</v>
      </c>
      <c r="R33" s="1">
        <v>55763</v>
      </c>
      <c r="S33" s="1">
        <v>54978</v>
      </c>
      <c r="T33" s="1">
        <v>67696</v>
      </c>
      <c r="U33" s="1">
        <v>56439</v>
      </c>
      <c r="V33" s="1">
        <v>59271</v>
      </c>
      <c r="W33" s="5">
        <v>48396</v>
      </c>
      <c r="X33" s="5">
        <v>66747</v>
      </c>
    </row>
    <row r="34" spans="4:24">
      <c r="D34" s="7" t="s">
        <v>236</v>
      </c>
      <c r="E34" s="5">
        <v>34268</v>
      </c>
      <c r="F34" s="5">
        <v>34091</v>
      </c>
      <c r="G34" s="5">
        <v>53546</v>
      </c>
      <c r="H34" s="5">
        <v>58842</v>
      </c>
      <c r="I34" s="5">
        <v>53931</v>
      </c>
      <c r="J34" s="5">
        <v>54180</v>
      </c>
      <c r="K34" s="5">
        <v>33385</v>
      </c>
      <c r="L34" s="5">
        <v>35010</v>
      </c>
      <c r="M34" s="5">
        <v>34405</v>
      </c>
      <c r="N34" s="5">
        <v>29609</v>
      </c>
      <c r="O34" s="1">
        <v>28433</v>
      </c>
      <c r="P34" s="1">
        <v>34223</v>
      </c>
      <c r="Q34" s="1">
        <v>28938</v>
      </c>
      <c r="R34" s="1">
        <v>31618</v>
      </c>
      <c r="S34" s="1">
        <v>32368</v>
      </c>
      <c r="T34" s="1">
        <v>32080</v>
      </c>
      <c r="U34" s="1">
        <v>29026</v>
      </c>
      <c r="V34" s="1">
        <v>31265</v>
      </c>
      <c r="W34" s="5">
        <v>27667</v>
      </c>
      <c r="X34" s="5">
        <v>32525</v>
      </c>
    </row>
    <row r="35" spans="4:24">
      <c r="D35" s="7" t="s">
        <v>237</v>
      </c>
      <c r="E35" s="5">
        <v>18327</v>
      </c>
      <c r="F35" s="5">
        <v>19591</v>
      </c>
      <c r="G35" s="5">
        <v>23409</v>
      </c>
      <c r="H35" s="5">
        <v>31131</v>
      </c>
      <c r="I35" s="5">
        <v>24265</v>
      </c>
      <c r="J35" s="5">
        <v>29912</v>
      </c>
      <c r="K35" s="5">
        <v>26225</v>
      </c>
      <c r="L35" s="5">
        <v>27829</v>
      </c>
      <c r="M35" s="5">
        <v>21966</v>
      </c>
      <c r="N35" s="5">
        <v>26947</v>
      </c>
      <c r="O35" s="1">
        <v>22822</v>
      </c>
      <c r="P35" s="1">
        <v>25395</v>
      </c>
      <c r="Q35" s="1">
        <v>24386</v>
      </c>
      <c r="R35" s="1">
        <v>27132</v>
      </c>
      <c r="S35" s="1">
        <v>25489</v>
      </c>
      <c r="T35" s="1">
        <v>30542</v>
      </c>
      <c r="U35" s="1">
        <v>26292</v>
      </c>
      <c r="V35" s="1">
        <v>26909</v>
      </c>
      <c r="W35" s="5">
        <v>23984</v>
      </c>
      <c r="X35" s="5">
        <v>31436</v>
      </c>
    </row>
    <row r="36" spans="4:24">
      <c r="D36" s="7" t="s">
        <v>238</v>
      </c>
      <c r="E36" s="5">
        <v>7155</v>
      </c>
      <c r="F36" s="5">
        <v>11300</v>
      </c>
      <c r="G36" s="5">
        <v>13083</v>
      </c>
      <c r="H36" s="5">
        <v>14489</v>
      </c>
      <c r="I36" s="5">
        <v>12044</v>
      </c>
      <c r="J36" s="5">
        <v>13609</v>
      </c>
      <c r="K36" s="5">
        <v>10640</v>
      </c>
      <c r="L36" s="5">
        <v>10275</v>
      </c>
      <c r="M36" s="5">
        <v>9489</v>
      </c>
      <c r="N36" s="5">
        <v>8336</v>
      </c>
      <c r="O36" s="1">
        <v>11462</v>
      </c>
      <c r="P36" s="1">
        <v>13623</v>
      </c>
      <c r="Q36" s="1">
        <v>10362</v>
      </c>
      <c r="R36" s="1">
        <v>12717</v>
      </c>
      <c r="S36" s="1">
        <v>13498</v>
      </c>
      <c r="T36" s="1">
        <v>12706</v>
      </c>
      <c r="U36" s="1">
        <v>10750</v>
      </c>
      <c r="V36" s="1">
        <v>11045</v>
      </c>
      <c r="W36" s="5">
        <v>9102</v>
      </c>
      <c r="X36" s="5">
        <v>9313</v>
      </c>
    </row>
    <row r="37" spans="4:24">
      <c r="D37" s="7" t="s">
        <v>239</v>
      </c>
      <c r="E37" s="5">
        <v>17708</v>
      </c>
      <c r="F37" s="5">
        <v>13565</v>
      </c>
      <c r="G37" s="5">
        <v>16829</v>
      </c>
      <c r="H37" s="5">
        <v>16810</v>
      </c>
      <c r="I37" s="5">
        <v>18167</v>
      </c>
      <c r="J37" s="5">
        <v>13058</v>
      </c>
      <c r="K37" s="5">
        <v>11212</v>
      </c>
      <c r="L37" s="5">
        <v>13602</v>
      </c>
      <c r="M37" s="5">
        <v>9201</v>
      </c>
      <c r="N37" s="5">
        <v>7487</v>
      </c>
      <c r="O37" s="1">
        <v>5121</v>
      </c>
      <c r="P37" s="1">
        <v>10268</v>
      </c>
      <c r="Q37" s="1">
        <v>7691</v>
      </c>
      <c r="R37" s="1">
        <v>8605</v>
      </c>
      <c r="S37" s="1">
        <v>5880</v>
      </c>
      <c r="T37" s="1">
        <v>8262</v>
      </c>
      <c r="U37" s="1">
        <v>8753</v>
      </c>
      <c r="V37" s="1">
        <v>9977</v>
      </c>
      <c r="W37" s="5">
        <v>7471</v>
      </c>
      <c r="X37" s="5">
        <v>7937</v>
      </c>
    </row>
    <row r="38" spans="4:24">
      <c r="D38" s="7" t="s">
        <v>240</v>
      </c>
      <c r="E38" s="5">
        <v>9154</v>
      </c>
      <c r="F38" s="5">
        <v>11304</v>
      </c>
      <c r="G38" s="5">
        <v>14449</v>
      </c>
      <c r="H38" s="5">
        <v>17344</v>
      </c>
      <c r="I38" s="5">
        <v>14060</v>
      </c>
      <c r="J38" s="5">
        <v>12299</v>
      </c>
      <c r="K38" s="5">
        <v>9765</v>
      </c>
      <c r="L38" s="5">
        <v>13120</v>
      </c>
      <c r="M38" s="5">
        <v>12173</v>
      </c>
      <c r="N38" s="5">
        <v>8161</v>
      </c>
      <c r="O38" s="1">
        <v>8686</v>
      </c>
      <c r="P38" s="1">
        <v>10484</v>
      </c>
      <c r="Q38" s="1">
        <v>8131</v>
      </c>
      <c r="R38" s="1">
        <v>9745</v>
      </c>
      <c r="S38" s="1">
        <v>10848</v>
      </c>
      <c r="T38" s="1">
        <v>11429</v>
      </c>
      <c r="U38" s="1">
        <v>10944</v>
      </c>
      <c r="V38" s="1">
        <v>11997</v>
      </c>
      <c r="W38" s="5">
        <v>11109</v>
      </c>
      <c r="X38" s="5">
        <v>9901</v>
      </c>
    </row>
    <row r="39" spans="4:24">
      <c r="D39" s="7" t="s">
        <v>241</v>
      </c>
      <c r="E39" s="5">
        <v>6564</v>
      </c>
      <c r="F39" s="5">
        <v>5822</v>
      </c>
      <c r="G39" s="5">
        <v>6865</v>
      </c>
      <c r="H39" s="5">
        <v>6318</v>
      </c>
      <c r="I39" s="5">
        <v>6890</v>
      </c>
      <c r="J39" s="5">
        <v>4806</v>
      </c>
      <c r="K39" s="5">
        <v>4152</v>
      </c>
      <c r="L39" s="5">
        <v>4866</v>
      </c>
      <c r="M39" s="5">
        <v>4464</v>
      </c>
      <c r="N39" s="5">
        <v>3623</v>
      </c>
      <c r="O39" s="1">
        <v>2969</v>
      </c>
      <c r="P39" s="1">
        <v>3684</v>
      </c>
      <c r="Q39" s="1">
        <v>3152</v>
      </c>
      <c r="R39" s="1">
        <v>3982</v>
      </c>
      <c r="S39" s="1">
        <v>3037</v>
      </c>
      <c r="T39" s="1">
        <v>4053</v>
      </c>
      <c r="U39" s="1">
        <v>2312</v>
      </c>
      <c r="V39" s="1">
        <v>2333</v>
      </c>
      <c r="W39" s="5">
        <v>2329</v>
      </c>
      <c r="X39" s="5">
        <v>2965</v>
      </c>
    </row>
    <row r="40" spans="4:24">
      <c r="D40" s="78" t="s">
        <v>242</v>
      </c>
      <c r="E40" s="79">
        <v>1783</v>
      </c>
      <c r="F40" s="79">
        <v>569</v>
      </c>
      <c r="G40" s="79">
        <v>655</v>
      </c>
      <c r="H40" s="79">
        <v>387</v>
      </c>
      <c r="I40" s="79">
        <v>24</v>
      </c>
      <c r="J40" s="79">
        <v>2</v>
      </c>
      <c r="K40" s="79">
        <v>2</v>
      </c>
      <c r="L40" s="80">
        <v>0</v>
      </c>
      <c r="M40" s="80">
        <v>2</v>
      </c>
      <c r="N40" s="80">
        <v>0</v>
      </c>
      <c r="O40" s="172">
        <v>1</v>
      </c>
      <c r="P40" s="172">
        <v>0</v>
      </c>
      <c r="Q40" s="172">
        <v>0</v>
      </c>
      <c r="R40" s="172">
        <v>0</v>
      </c>
      <c r="S40" s="172">
        <v>0</v>
      </c>
      <c r="T40" s="172">
        <v>0</v>
      </c>
      <c r="U40" s="172">
        <v>0</v>
      </c>
      <c r="V40" s="172">
        <v>0</v>
      </c>
      <c r="W40" s="80">
        <v>0</v>
      </c>
      <c r="X40" s="80">
        <v>0</v>
      </c>
    </row>
    <row r="41" spans="4:24">
      <c r="D41" s="7" t="s">
        <v>131</v>
      </c>
      <c r="E41" s="7">
        <v>131889</v>
      </c>
      <c r="F41" s="7">
        <v>138073</v>
      </c>
      <c r="G41" s="7">
        <v>181166</v>
      </c>
      <c r="H41" s="7">
        <v>210585</v>
      </c>
      <c r="I41" s="7">
        <v>185698</v>
      </c>
      <c r="J41" s="7">
        <v>195059</v>
      </c>
      <c r="K41" s="7">
        <v>149892</v>
      </c>
      <c r="L41" s="7">
        <v>168044</v>
      </c>
      <c r="M41" s="7">
        <v>148295</v>
      </c>
      <c r="N41" s="7">
        <v>143006</v>
      </c>
      <c r="O41" s="171">
        <v>137686</v>
      </c>
      <c r="P41" s="171">
        <v>186134</v>
      </c>
      <c r="Q41" s="171">
        <v>162938</v>
      </c>
      <c r="R41" s="171">
        <v>178753</v>
      </c>
      <c r="S41" s="171">
        <v>167467</v>
      </c>
      <c r="T41" s="171">
        <v>199558</v>
      </c>
      <c r="U41" s="171">
        <f>SUM(U28:U40)</f>
        <v>182687</v>
      </c>
      <c r="V41" s="171">
        <f>SUM(V28:V40)</f>
        <v>205386</v>
      </c>
      <c r="W41" s="7">
        <f>SUM(W28:W40)</f>
        <v>172849</v>
      </c>
      <c r="X41" s="7">
        <v>202467</v>
      </c>
    </row>
  </sheetData>
  <mergeCells count="1">
    <mergeCell ref="E8:H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720B-10C0-4FB9-8475-336768AD0614}">
  <dimension ref="D1:CC49"/>
  <sheetViews>
    <sheetView showGridLines="0" zoomScaleNormal="100" workbookViewId="0">
      <pane xSplit="4" ySplit="9" topLeftCell="BG10" activePane="bottomRight" state="frozen"/>
      <selection pane="topRight" activeCell="W28" sqref="W28:W32"/>
      <selection pane="bottomLeft" activeCell="W28" sqref="W28:W32"/>
      <selection pane="bottomRight" activeCell="CC10" sqref="CC10"/>
    </sheetView>
  </sheetViews>
  <sheetFormatPr defaultColWidth="8.81640625" defaultRowHeight="14.5"/>
  <cols>
    <col min="4" max="4" width="16.1796875" bestFit="1" customWidth="1"/>
    <col min="5" max="13" width="8.1796875" customWidth="1"/>
    <col min="14" max="14" width="8.1796875" style="1" customWidth="1"/>
    <col min="15" max="16" width="8.1796875" customWidth="1"/>
    <col min="17" max="17" width="3.26953125" customWidth="1"/>
    <col min="18" max="26" width="8.1796875" customWidth="1"/>
    <col min="27" max="27" width="8.1796875" style="1" customWidth="1"/>
    <col min="28" max="29" width="8.1796875" customWidth="1"/>
    <col min="30" max="30" width="4" customWidth="1"/>
    <col min="31" max="39" width="8.1796875" customWidth="1"/>
    <col min="40" max="40" width="8.1796875" style="1" customWidth="1"/>
    <col min="41" max="42" width="8.1796875" customWidth="1"/>
    <col min="44" max="44" width="8.1796875" customWidth="1"/>
    <col min="57" max="57" width="8.1796875" customWidth="1"/>
  </cols>
  <sheetData>
    <row r="1" spans="4:81">
      <c r="D1" s="8" t="s">
        <v>6</v>
      </c>
      <c r="E1" s="8"/>
      <c r="F1" s="8"/>
      <c r="G1" s="8"/>
      <c r="H1" s="8"/>
      <c r="I1" s="8"/>
      <c r="J1" s="8"/>
      <c r="K1" s="8"/>
      <c r="L1" s="8"/>
      <c r="M1" s="8"/>
      <c r="P1" s="8"/>
      <c r="R1" s="8"/>
      <c r="S1" s="8"/>
      <c r="T1" s="8"/>
      <c r="U1" s="8"/>
      <c r="V1" s="8"/>
      <c r="W1" s="8"/>
      <c r="X1" s="8"/>
      <c r="Y1" s="8"/>
      <c r="Z1" s="8"/>
      <c r="AC1" s="8"/>
      <c r="AE1" s="8"/>
      <c r="AF1" s="8"/>
      <c r="AG1" s="8"/>
      <c r="AH1" s="8"/>
      <c r="AI1" s="8"/>
      <c r="AJ1" s="8"/>
      <c r="AK1" s="8"/>
      <c r="AL1" s="8"/>
      <c r="AM1" s="8"/>
      <c r="AP1" s="8"/>
      <c r="AR1" s="8"/>
      <c r="BE1" s="8"/>
    </row>
    <row r="6" spans="4:81" s="4" customFormat="1">
      <c r="N6" s="9"/>
      <c r="O6" s="3"/>
      <c r="Q6" s="3"/>
      <c r="AA6" s="9"/>
      <c r="AB6" s="3"/>
      <c r="AD6" s="3"/>
      <c r="AN6" s="9"/>
      <c r="AO6" s="3"/>
      <c r="AQ6" s="3"/>
    </row>
    <row r="7" spans="4:81" s="4" customFormat="1">
      <c r="N7" s="9"/>
      <c r="O7" s="3"/>
      <c r="Q7" s="3"/>
      <c r="AA7" s="9"/>
      <c r="AB7" s="3"/>
      <c r="AD7" s="3"/>
      <c r="AN7" s="9"/>
      <c r="AO7" s="3"/>
      <c r="AQ7" s="3"/>
    </row>
    <row r="8" spans="4:81" s="4" customFormat="1">
      <c r="E8" s="291">
        <v>2019</v>
      </c>
      <c r="F8" s="291"/>
      <c r="G8" s="291"/>
      <c r="H8" s="291"/>
      <c r="I8" s="291"/>
      <c r="J8" s="291"/>
      <c r="K8" s="291"/>
      <c r="L8" s="291"/>
      <c r="M8" s="291"/>
      <c r="N8" s="291"/>
      <c r="O8" s="291"/>
      <c r="P8" s="291"/>
      <c r="Q8" s="22"/>
      <c r="R8" s="291">
        <v>2020</v>
      </c>
      <c r="S8" s="291"/>
      <c r="T8" s="291"/>
      <c r="U8" s="291"/>
      <c r="V8" s="291"/>
      <c r="W8" s="291"/>
      <c r="X8" s="291"/>
      <c r="Y8" s="291"/>
      <c r="Z8" s="291"/>
      <c r="AA8" s="291"/>
      <c r="AB8" s="291"/>
      <c r="AC8" s="291"/>
      <c r="AD8" s="22"/>
      <c r="AE8" s="291">
        <v>2021</v>
      </c>
      <c r="AF8" s="291"/>
      <c r="AG8" s="291"/>
      <c r="AH8" s="291"/>
      <c r="AI8" s="291"/>
      <c r="AJ8" s="291"/>
      <c r="AK8" s="291"/>
      <c r="AL8" s="291"/>
      <c r="AM8" s="291"/>
      <c r="AN8" s="291"/>
      <c r="AO8" s="291"/>
      <c r="AP8" s="291"/>
      <c r="AQ8" s="22"/>
      <c r="AR8" s="292">
        <v>2022</v>
      </c>
      <c r="AS8" s="292"/>
      <c r="AT8" s="292"/>
      <c r="AU8" s="292"/>
      <c r="AV8" s="292"/>
      <c r="AW8" s="292"/>
      <c r="AX8" s="292"/>
      <c r="AY8" s="292"/>
      <c r="AZ8" s="292"/>
      <c r="BA8" s="292"/>
      <c r="BB8" s="292"/>
      <c r="BC8" s="292"/>
      <c r="BE8" s="290">
        <v>2023</v>
      </c>
      <c r="BF8" s="290"/>
      <c r="BG8" s="290"/>
      <c r="BH8" s="290"/>
      <c r="BI8" s="290"/>
      <c r="BJ8" s="290"/>
      <c r="BK8" s="290"/>
      <c r="BL8" s="290"/>
      <c r="BM8" s="290"/>
      <c r="BN8" s="290"/>
      <c r="BO8" s="290"/>
      <c r="BP8" s="290"/>
      <c r="BR8" s="290">
        <v>2024</v>
      </c>
      <c r="BS8" s="290"/>
      <c r="BT8" s="290"/>
      <c r="BU8" s="290"/>
      <c r="BV8" s="290"/>
      <c r="BW8" s="290"/>
      <c r="BX8" s="290"/>
      <c r="BY8" s="290"/>
      <c r="BZ8" s="290"/>
      <c r="CA8" s="290"/>
      <c r="CB8" s="290"/>
      <c r="CC8" s="290"/>
    </row>
    <row r="9" spans="4:81" s="4" customFormat="1" ht="15" thickBot="1">
      <c r="D9" s="81" t="s">
        <v>219</v>
      </c>
      <c r="E9" s="82" t="s">
        <v>243</v>
      </c>
      <c r="F9" s="82" t="s">
        <v>244</v>
      </c>
      <c r="G9" s="82" t="s">
        <v>245</v>
      </c>
      <c r="H9" s="82" t="s">
        <v>246</v>
      </c>
      <c r="I9" s="82" t="s">
        <v>247</v>
      </c>
      <c r="J9" s="82" t="s">
        <v>248</v>
      </c>
      <c r="K9" s="82" t="s">
        <v>249</v>
      </c>
      <c r="L9" s="82" t="s">
        <v>250</v>
      </c>
      <c r="M9" s="82" t="s">
        <v>251</v>
      </c>
      <c r="N9" s="82" t="s">
        <v>252</v>
      </c>
      <c r="O9" s="82" t="s">
        <v>253</v>
      </c>
      <c r="P9" s="82" t="s">
        <v>254</v>
      </c>
      <c r="Q9" s="9"/>
      <c r="R9" s="82" t="s">
        <v>243</v>
      </c>
      <c r="S9" s="82" t="s">
        <v>244</v>
      </c>
      <c r="T9" s="82" t="s">
        <v>245</v>
      </c>
      <c r="U9" s="82" t="s">
        <v>246</v>
      </c>
      <c r="V9" s="82" t="s">
        <v>247</v>
      </c>
      <c r="W9" s="82" t="s">
        <v>248</v>
      </c>
      <c r="X9" s="82" t="s">
        <v>249</v>
      </c>
      <c r="Y9" s="82" t="s">
        <v>250</v>
      </c>
      <c r="Z9" s="82" t="s">
        <v>251</v>
      </c>
      <c r="AA9" s="82" t="s">
        <v>252</v>
      </c>
      <c r="AB9" s="82" t="s">
        <v>253</v>
      </c>
      <c r="AC9" s="82" t="s">
        <v>254</v>
      </c>
      <c r="AD9" s="9"/>
      <c r="AE9" s="82" t="s">
        <v>243</v>
      </c>
      <c r="AF9" s="82" t="s">
        <v>244</v>
      </c>
      <c r="AG9" s="82" t="s">
        <v>245</v>
      </c>
      <c r="AH9" s="82" t="s">
        <v>246</v>
      </c>
      <c r="AI9" s="82" t="s">
        <v>247</v>
      </c>
      <c r="AJ9" s="82" t="s">
        <v>248</v>
      </c>
      <c r="AK9" s="82" t="s">
        <v>249</v>
      </c>
      <c r="AL9" s="82" t="s">
        <v>250</v>
      </c>
      <c r="AM9" s="82" t="s">
        <v>251</v>
      </c>
      <c r="AN9" s="82" t="s">
        <v>252</v>
      </c>
      <c r="AO9" s="82" t="s">
        <v>253</v>
      </c>
      <c r="AP9" s="82" t="s">
        <v>254</v>
      </c>
      <c r="AQ9" s="9"/>
      <c r="AR9" s="82" t="s">
        <v>243</v>
      </c>
      <c r="AS9" s="82" t="s">
        <v>244</v>
      </c>
      <c r="AT9" s="82" t="s">
        <v>245</v>
      </c>
      <c r="AU9" s="82" t="s">
        <v>246</v>
      </c>
      <c r="AV9" s="82" t="s">
        <v>247</v>
      </c>
      <c r="AW9" s="82" t="s">
        <v>255</v>
      </c>
      <c r="AX9" s="82" t="s">
        <v>249</v>
      </c>
      <c r="AY9" s="82" t="s">
        <v>250</v>
      </c>
      <c r="AZ9" s="82" t="s">
        <v>251</v>
      </c>
      <c r="BA9" s="82" t="s">
        <v>252</v>
      </c>
      <c r="BB9" s="82" t="s">
        <v>253</v>
      </c>
      <c r="BC9" s="82" t="s">
        <v>254</v>
      </c>
      <c r="BE9" s="82" t="s">
        <v>243</v>
      </c>
      <c r="BF9" s="82" t="s">
        <v>244</v>
      </c>
      <c r="BG9" s="82" t="s">
        <v>245</v>
      </c>
      <c r="BH9" s="82" t="s">
        <v>246</v>
      </c>
      <c r="BI9" s="82" t="s">
        <v>247</v>
      </c>
      <c r="BJ9" s="82" t="s">
        <v>248</v>
      </c>
      <c r="BK9" s="82" t="s">
        <v>249</v>
      </c>
      <c r="BL9" s="82" t="s">
        <v>250</v>
      </c>
      <c r="BM9" s="82" t="s">
        <v>251</v>
      </c>
      <c r="BN9" s="82" t="s">
        <v>252</v>
      </c>
      <c r="BO9" s="82" t="s">
        <v>253</v>
      </c>
      <c r="BP9" s="82" t="s">
        <v>254</v>
      </c>
      <c r="BR9" s="82" t="s">
        <v>243</v>
      </c>
      <c r="BS9" s="82" t="s">
        <v>244</v>
      </c>
      <c r="BT9" s="82" t="s">
        <v>245</v>
      </c>
      <c r="BU9" s="82" t="s">
        <v>246</v>
      </c>
      <c r="BV9" s="82" t="s">
        <v>256</v>
      </c>
      <c r="BW9" s="82" t="s">
        <v>248</v>
      </c>
      <c r="BX9" s="82" t="s">
        <v>249</v>
      </c>
      <c r="BY9" s="82" t="s">
        <v>250</v>
      </c>
      <c r="BZ9" s="82" t="s">
        <v>257</v>
      </c>
      <c r="CA9" s="82" t="s">
        <v>252</v>
      </c>
      <c r="CB9" s="82" t="s">
        <v>253</v>
      </c>
      <c r="CC9" s="82" t="s">
        <v>254</v>
      </c>
    </row>
    <row r="10" spans="4:81" s="4" customFormat="1">
      <c r="D10" s="21" t="s">
        <v>26</v>
      </c>
      <c r="E10" s="83">
        <v>26229</v>
      </c>
      <c r="F10" s="83">
        <v>23029</v>
      </c>
      <c r="G10" s="83">
        <v>37366</v>
      </c>
      <c r="H10" s="83">
        <v>28003</v>
      </c>
      <c r="I10" s="83">
        <v>29731</v>
      </c>
      <c r="J10" s="83">
        <v>30295</v>
      </c>
      <c r="K10" s="83">
        <v>25518</v>
      </c>
      <c r="L10" s="83">
        <v>16662</v>
      </c>
      <c r="M10" s="83">
        <v>31123</v>
      </c>
      <c r="N10" s="83">
        <v>29560</v>
      </c>
      <c r="O10" s="83">
        <v>29323</v>
      </c>
      <c r="P10" s="83">
        <v>34361</v>
      </c>
      <c r="R10" s="83">
        <v>22838</v>
      </c>
      <c r="S10" s="83">
        <v>23480</v>
      </c>
      <c r="T10" s="83">
        <v>24279</v>
      </c>
      <c r="U10" s="83">
        <v>9285</v>
      </c>
      <c r="V10" s="83">
        <v>14999</v>
      </c>
      <c r="W10" s="83">
        <v>28317</v>
      </c>
      <c r="X10" s="83">
        <v>28748</v>
      </c>
      <c r="Y10" s="83">
        <v>17502</v>
      </c>
      <c r="Z10" s="83">
        <v>30914</v>
      </c>
      <c r="AA10" s="83">
        <v>28181</v>
      </c>
      <c r="AB10" s="83">
        <v>26131</v>
      </c>
      <c r="AC10" s="83">
        <v>33633</v>
      </c>
      <c r="AE10" s="83">
        <v>24864</v>
      </c>
      <c r="AF10" s="83">
        <v>23963</v>
      </c>
      <c r="AG10" s="83">
        <v>38723</v>
      </c>
      <c r="AH10" s="83">
        <v>25816</v>
      </c>
      <c r="AI10" s="83">
        <v>24761</v>
      </c>
      <c r="AJ10" s="83">
        <v>28695</v>
      </c>
      <c r="AK10" s="83">
        <v>22408</v>
      </c>
      <c r="AL10" s="83">
        <v>13052</v>
      </c>
      <c r="AM10" s="83">
        <v>18089</v>
      </c>
      <c r="AN10" s="83">
        <v>22124</v>
      </c>
      <c r="AO10" s="83">
        <v>22415</v>
      </c>
      <c r="AP10" s="83">
        <v>28561</v>
      </c>
      <c r="AR10" s="83">
        <v>18691</v>
      </c>
      <c r="AS10" s="83">
        <v>19512</v>
      </c>
      <c r="AT10" s="83">
        <v>26954</v>
      </c>
      <c r="AU10" s="83">
        <v>19822</v>
      </c>
      <c r="AV10" s="83">
        <v>18752</v>
      </c>
      <c r="AW10" s="83">
        <v>16039</v>
      </c>
      <c r="AX10" s="83">
        <v>15893</v>
      </c>
      <c r="AY10" s="83">
        <v>10995</v>
      </c>
      <c r="AZ10" s="83">
        <v>19358</v>
      </c>
      <c r="BA10" s="83">
        <v>22030</v>
      </c>
      <c r="BB10" s="83">
        <v>25960</v>
      </c>
      <c r="BC10" s="83">
        <v>33407</v>
      </c>
      <c r="BD10" s="5"/>
      <c r="BE10" s="83">
        <v>21436</v>
      </c>
      <c r="BF10" s="83">
        <v>21278</v>
      </c>
      <c r="BG10" s="83">
        <v>29957</v>
      </c>
      <c r="BH10" s="83">
        <v>20804</v>
      </c>
      <c r="BI10" s="83">
        <v>26272</v>
      </c>
      <c r="BJ10" s="83">
        <v>27196</v>
      </c>
      <c r="BK10" s="83">
        <v>20286</v>
      </c>
      <c r="BL10" s="83">
        <v>16051</v>
      </c>
      <c r="BM10" s="83">
        <v>25489</v>
      </c>
      <c r="BN10" s="83">
        <v>24892</v>
      </c>
      <c r="BO10" s="83">
        <v>26407</v>
      </c>
      <c r="BP10" s="83">
        <v>34726</v>
      </c>
      <c r="BR10" s="83">
        <v>23141</v>
      </c>
      <c r="BS10" s="83">
        <v>26773</v>
      </c>
      <c r="BT10" s="83">
        <v>39756</v>
      </c>
      <c r="BU10" s="83">
        <v>34238</v>
      </c>
      <c r="BV10" s="83">
        <v>33252</v>
      </c>
      <c r="BW10" s="83">
        <v>36474</v>
      </c>
      <c r="BX10" s="83">
        <v>28390</v>
      </c>
      <c r="BY10" s="83">
        <v>21119</v>
      </c>
      <c r="BZ10" s="83">
        <v>31276</v>
      </c>
      <c r="CA10" s="83">
        <v>30167</v>
      </c>
      <c r="CB10" s="83">
        <v>31611</v>
      </c>
      <c r="CC10" s="83">
        <v>33488</v>
      </c>
    </row>
    <row r="11" spans="4:81" s="4" customFormat="1">
      <c r="D11" s="4" t="s">
        <v>38</v>
      </c>
      <c r="E11" s="84"/>
      <c r="F11" s="84"/>
      <c r="G11" s="84"/>
      <c r="H11" s="84"/>
      <c r="I11" s="84"/>
      <c r="J11" s="84"/>
      <c r="K11" s="84"/>
      <c r="L11" s="84"/>
      <c r="M11" s="84"/>
      <c r="N11" s="84"/>
      <c r="O11" s="84"/>
      <c r="P11" s="84"/>
      <c r="R11" s="84"/>
      <c r="S11" s="84"/>
      <c r="T11" s="84"/>
      <c r="U11" s="84"/>
      <c r="V11" s="84"/>
      <c r="W11" s="84"/>
      <c r="X11" s="84"/>
      <c r="Y11" s="84"/>
      <c r="Z11" s="84"/>
      <c r="AA11" s="84">
        <v>18100</v>
      </c>
      <c r="AB11" s="84">
        <v>15278</v>
      </c>
      <c r="AC11" s="84">
        <v>19214</v>
      </c>
      <c r="AE11" s="84">
        <v>14710</v>
      </c>
      <c r="AF11" s="84">
        <v>13546</v>
      </c>
      <c r="AG11" s="84">
        <v>23452</v>
      </c>
      <c r="AH11" s="84">
        <v>14904</v>
      </c>
      <c r="AI11" s="84">
        <v>14911</v>
      </c>
      <c r="AJ11" s="84">
        <v>17129</v>
      </c>
      <c r="AK11" s="84">
        <v>12745</v>
      </c>
      <c r="AL11" s="84">
        <v>6917</v>
      </c>
      <c r="AM11" s="84">
        <v>10051</v>
      </c>
      <c r="AN11" s="84">
        <v>11755</v>
      </c>
      <c r="AO11" s="84">
        <v>10746</v>
      </c>
      <c r="AP11" s="84">
        <v>12048</v>
      </c>
      <c r="AQ11" s="152"/>
      <c r="AR11" s="84">
        <v>8765</v>
      </c>
      <c r="AS11" s="84">
        <v>9618</v>
      </c>
      <c r="AT11" s="84">
        <v>12664</v>
      </c>
      <c r="AU11" s="84">
        <v>9625</v>
      </c>
      <c r="AV11" s="84">
        <v>9939</v>
      </c>
      <c r="AW11" s="84">
        <v>10613</v>
      </c>
      <c r="AX11" s="84">
        <v>9549</v>
      </c>
      <c r="AY11" s="84">
        <v>5772</v>
      </c>
      <c r="AZ11" s="84">
        <v>8157</v>
      </c>
      <c r="BA11" s="84">
        <v>7743</v>
      </c>
      <c r="BB11" s="84">
        <v>8508</v>
      </c>
      <c r="BC11" s="84">
        <v>10746</v>
      </c>
      <c r="BD11" s="5"/>
      <c r="BE11" s="84">
        <v>8616</v>
      </c>
      <c r="BF11" s="84">
        <v>7580</v>
      </c>
      <c r="BG11" s="84">
        <v>11420</v>
      </c>
      <c r="BH11" s="84">
        <v>7788</v>
      </c>
      <c r="BI11" s="84">
        <v>9791</v>
      </c>
      <c r="BJ11" s="84">
        <v>11488</v>
      </c>
      <c r="BK11" s="84">
        <f>BK10-BK14-BK13</f>
        <v>9001</v>
      </c>
      <c r="BL11" s="84">
        <f>BL10-BL14-BL13</f>
        <v>5869</v>
      </c>
      <c r="BM11" s="84">
        <f>BM10-BM14-BM13</f>
        <v>11890</v>
      </c>
      <c r="BN11" s="84">
        <v>11229</v>
      </c>
      <c r="BO11" s="84">
        <v>11754</v>
      </c>
      <c r="BP11" s="84">
        <v>15793</v>
      </c>
      <c r="BR11" s="84">
        <v>9311</v>
      </c>
      <c r="BS11" s="84">
        <v>10640</v>
      </c>
      <c r="BT11" s="84">
        <v>14900</v>
      </c>
      <c r="BU11" s="84">
        <v>11286</v>
      </c>
      <c r="BV11" s="84">
        <v>11224</v>
      </c>
      <c r="BW11" s="84">
        <v>12318</v>
      </c>
      <c r="BX11" s="84">
        <v>9908</v>
      </c>
      <c r="BY11" s="84">
        <v>5625</v>
      </c>
      <c r="BZ11" s="84">
        <v>10562</v>
      </c>
      <c r="CA11" s="84">
        <v>10191</v>
      </c>
      <c r="CB11" s="84">
        <v>11197</v>
      </c>
      <c r="CC11" s="84">
        <v>12098</v>
      </c>
    </row>
    <row r="12" spans="4:81" s="4" customFormat="1">
      <c r="D12" s="4" t="s">
        <v>258</v>
      </c>
      <c r="E12" s="84"/>
      <c r="F12" s="84"/>
      <c r="G12" s="84"/>
      <c r="H12" s="84"/>
      <c r="I12" s="84"/>
      <c r="J12" s="84"/>
      <c r="K12" s="84"/>
      <c r="L12" s="84"/>
      <c r="M12" s="84"/>
      <c r="N12" s="84"/>
      <c r="O12" s="84"/>
      <c r="P12" s="84"/>
      <c r="R12" s="84"/>
      <c r="S12" s="84"/>
      <c r="T12" s="84"/>
      <c r="U12" s="84"/>
      <c r="V12" s="84"/>
      <c r="W12" s="84"/>
      <c r="X12" s="84"/>
      <c r="Y12" s="84"/>
      <c r="Z12" s="84"/>
      <c r="AA12" s="84"/>
      <c r="AB12" s="84"/>
      <c r="AC12" s="84"/>
      <c r="AE12" s="84"/>
      <c r="AF12" s="84"/>
      <c r="AG12" s="84"/>
      <c r="AH12" s="84"/>
      <c r="AI12" s="84"/>
      <c r="AJ12" s="84"/>
      <c r="AK12" s="84"/>
      <c r="AL12" s="84"/>
      <c r="AM12" s="84"/>
      <c r="AN12" s="84"/>
      <c r="AO12" s="84"/>
      <c r="AP12" s="84"/>
      <c r="AQ12" s="152"/>
      <c r="AR12" s="84"/>
      <c r="AS12" s="84"/>
      <c r="AT12" s="84"/>
      <c r="AU12" s="84"/>
      <c r="AV12" s="84"/>
      <c r="AW12" s="84"/>
      <c r="AX12" s="84"/>
      <c r="AY12" s="84"/>
      <c r="AZ12" s="84"/>
      <c r="BA12" s="84"/>
      <c r="BB12" s="84"/>
      <c r="BC12" s="84"/>
      <c r="BD12" s="152"/>
      <c r="BE12" s="84"/>
      <c r="BF12" s="84"/>
      <c r="BG12" s="84"/>
      <c r="BH12" s="84"/>
      <c r="BI12" s="84"/>
      <c r="BJ12" s="84"/>
      <c r="BK12" s="84"/>
      <c r="BL12" s="84"/>
      <c r="BM12" s="84"/>
      <c r="BN12" s="84"/>
      <c r="BO12" s="84"/>
      <c r="BP12" s="84"/>
      <c r="BR12" s="84"/>
      <c r="BS12" s="84"/>
      <c r="BT12" s="84"/>
      <c r="BU12" s="84"/>
      <c r="BV12" s="84"/>
      <c r="BW12" s="84"/>
      <c r="BX12" s="84"/>
      <c r="BY12" s="84"/>
      <c r="BZ12" s="84"/>
      <c r="CA12" s="84"/>
      <c r="CB12" s="84"/>
      <c r="CC12" s="84"/>
    </row>
    <row r="13" spans="4:81" s="4" customFormat="1">
      <c r="D13" s="32" t="s">
        <v>259</v>
      </c>
      <c r="E13" s="84"/>
      <c r="F13" s="84"/>
      <c r="G13" s="84"/>
      <c r="H13" s="84"/>
      <c r="I13" s="84"/>
      <c r="J13" s="84"/>
      <c r="K13" s="84"/>
      <c r="L13" s="84"/>
      <c r="M13" s="84"/>
      <c r="N13" s="84"/>
      <c r="O13" s="84"/>
      <c r="P13" s="84"/>
      <c r="R13" s="84"/>
      <c r="S13" s="84"/>
      <c r="T13" s="84"/>
      <c r="U13" s="84"/>
      <c r="V13" s="84"/>
      <c r="W13" s="84"/>
      <c r="X13" s="84"/>
      <c r="Y13" s="84"/>
      <c r="Z13" s="84"/>
      <c r="AA13" s="84">
        <v>10079</v>
      </c>
      <c r="AB13" s="84">
        <v>9599</v>
      </c>
      <c r="AC13" s="84">
        <v>11228</v>
      </c>
      <c r="AE13" s="84">
        <v>9078</v>
      </c>
      <c r="AF13" s="84">
        <v>9564</v>
      </c>
      <c r="AG13" s="84">
        <v>14099</v>
      </c>
      <c r="AH13" s="84">
        <v>9698</v>
      </c>
      <c r="AI13" s="84">
        <v>8488</v>
      </c>
      <c r="AJ13" s="84">
        <v>10065</v>
      </c>
      <c r="AK13" s="84">
        <v>8531</v>
      </c>
      <c r="AL13" s="84">
        <v>5368</v>
      </c>
      <c r="AM13" s="84">
        <v>7233</v>
      </c>
      <c r="AN13" s="84">
        <v>8712</v>
      </c>
      <c r="AO13" s="84">
        <v>9891</v>
      </c>
      <c r="AP13" s="84">
        <v>13259</v>
      </c>
      <c r="AQ13" s="152"/>
      <c r="AR13" s="84">
        <v>7940</v>
      </c>
      <c r="AS13" s="84">
        <v>7684</v>
      </c>
      <c r="AT13" s="84">
        <v>10894</v>
      </c>
      <c r="AU13" s="84">
        <v>7465</v>
      </c>
      <c r="AV13" s="84">
        <v>6966</v>
      </c>
      <c r="AW13" s="84">
        <v>4543</v>
      </c>
      <c r="AX13" s="84">
        <v>5350</v>
      </c>
      <c r="AY13" s="84">
        <v>3769</v>
      </c>
      <c r="AZ13" s="84">
        <v>6129</v>
      </c>
      <c r="BA13" s="84">
        <v>8115</v>
      </c>
      <c r="BB13" s="84">
        <v>9087</v>
      </c>
      <c r="BC13" s="84">
        <v>12082</v>
      </c>
      <c r="BD13" s="5"/>
      <c r="BE13" s="84">
        <v>7483</v>
      </c>
      <c r="BF13" s="84">
        <v>6983</v>
      </c>
      <c r="BG13" s="84">
        <v>9542</v>
      </c>
      <c r="BH13" s="84">
        <v>7588</v>
      </c>
      <c r="BI13" s="84">
        <v>8826</v>
      </c>
      <c r="BJ13" s="84">
        <v>10221</v>
      </c>
      <c r="BK13" s="84">
        <v>8573</v>
      </c>
      <c r="BL13" s="84">
        <v>5966</v>
      </c>
      <c r="BM13" s="84">
        <v>7378</v>
      </c>
      <c r="BN13" s="84">
        <v>6654</v>
      </c>
      <c r="BO13" s="84">
        <v>7872</v>
      </c>
      <c r="BP13" s="84">
        <v>10013</v>
      </c>
      <c r="BR13" s="84">
        <v>6359</v>
      </c>
      <c r="BS13" s="84">
        <v>7334</v>
      </c>
      <c r="BT13" s="84">
        <v>9889</v>
      </c>
      <c r="BU13" s="84">
        <v>9072</v>
      </c>
      <c r="BV13" s="84">
        <v>9755</v>
      </c>
      <c r="BW13" s="84">
        <v>10140</v>
      </c>
      <c r="BX13" s="84">
        <v>8168</v>
      </c>
      <c r="BY13" s="84">
        <v>5514</v>
      </c>
      <c r="BZ13" s="84">
        <v>8954</v>
      </c>
      <c r="CA13" s="84">
        <v>10146</v>
      </c>
      <c r="CB13" s="84">
        <v>10221</v>
      </c>
      <c r="CC13" s="84">
        <v>11803</v>
      </c>
    </row>
    <row r="14" spans="4:81" s="4" customFormat="1">
      <c r="D14" s="32" t="s">
        <v>260</v>
      </c>
      <c r="E14" s="84"/>
      <c r="F14" s="84"/>
      <c r="G14" s="84"/>
      <c r="H14" s="84"/>
      <c r="I14" s="84"/>
      <c r="J14" s="84"/>
      <c r="K14" s="84"/>
      <c r="L14" s="84"/>
      <c r="M14" s="84"/>
      <c r="N14" s="84"/>
      <c r="O14" s="84"/>
      <c r="P14" s="84"/>
      <c r="R14" s="84"/>
      <c r="S14" s="84"/>
      <c r="T14" s="84"/>
      <c r="U14" s="84"/>
      <c r="V14" s="84"/>
      <c r="W14" s="84"/>
      <c r="X14" s="84"/>
      <c r="Y14" s="84"/>
      <c r="Z14" s="84"/>
      <c r="AA14" s="84">
        <v>2</v>
      </c>
      <c r="AB14" s="84">
        <v>1254</v>
      </c>
      <c r="AC14" s="84">
        <v>3191</v>
      </c>
      <c r="AE14" s="84">
        <v>1076</v>
      </c>
      <c r="AF14" s="84">
        <v>853</v>
      </c>
      <c r="AG14" s="84">
        <v>1172</v>
      </c>
      <c r="AH14" s="84">
        <v>1214</v>
      </c>
      <c r="AI14" s="84">
        <v>1362</v>
      </c>
      <c r="AJ14" s="84">
        <v>1501</v>
      </c>
      <c r="AK14" s="84">
        <v>1132</v>
      </c>
      <c r="AL14" s="84">
        <v>767</v>
      </c>
      <c r="AM14" s="84">
        <v>805</v>
      </c>
      <c r="AN14" s="84">
        <v>1657</v>
      </c>
      <c r="AO14" s="84">
        <v>1778</v>
      </c>
      <c r="AP14" s="84">
        <v>3254</v>
      </c>
      <c r="AQ14" s="152"/>
      <c r="AR14" s="84">
        <v>1986</v>
      </c>
      <c r="AS14" s="84">
        <v>2210</v>
      </c>
      <c r="AT14" s="84">
        <v>3396</v>
      </c>
      <c r="AU14" s="84">
        <v>2732</v>
      </c>
      <c r="AV14" s="84">
        <v>1847</v>
      </c>
      <c r="AW14" s="84">
        <v>883</v>
      </c>
      <c r="AX14" s="84">
        <v>994</v>
      </c>
      <c r="AY14" s="84">
        <v>1454</v>
      </c>
      <c r="AZ14" s="84">
        <v>5072</v>
      </c>
      <c r="BA14" s="84">
        <v>6172</v>
      </c>
      <c r="BB14" s="84">
        <v>8365</v>
      </c>
      <c r="BC14" s="84">
        <v>10579</v>
      </c>
      <c r="BD14" s="5"/>
      <c r="BE14" s="84">
        <v>5337</v>
      </c>
      <c r="BF14" s="84">
        <v>6715</v>
      </c>
      <c r="BG14" s="84">
        <v>8995</v>
      </c>
      <c r="BH14" s="84">
        <v>5428</v>
      </c>
      <c r="BI14" s="84">
        <v>7655</v>
      </c>
      <c r="BJ14" s="84">
        <v>5487</v>
      </c>
      <c r="BK14" s="84">
        <v>2712</v>
      </c>
      <c r="BL14" s="84">
        <v>4216</v>
      </c>
      <c r="BM14" s="84">
        <v>6221</v>
      </c>
      <c r="BN14" s="84">
        <v>7009</v>
      </c>
      <c r="BO14" s="84">
        <v>6781</v>
      </c>
      <c r="BP14" s="84">
        <v>8920</v>
      </c>
      <c r="BR14" s="84">
        <v>7471</v>
      </c>
      <c r="BS14" s="84">
        <v>8799</v>
      </c>
      <c r="BT14" s="84">
        <v>14967</v>
      </c>
      <c r="BU14" s="84">
        <v>13880</v>
      </c>
      <c r="BV14" s="84">
        <v>12273</v>
      </c>
      <c r="BW14" s="84">
        <v>14016</v>
      </c>
      <c r="BX14" s="84">
        <v>10314</v>
      </c>
      <c r="BY14" s="84">
        <v>9980</v>
      </c>
      <c r="BZ14" s="84">
        <v>11760</v>
      </c>
      <c r="CA14" s="84">
        <v>9830</v>
      </c>
      <c r="CB14" s="84">
        <v>10193</v>
      </c>
      <c r="CC14" s="84">
        <v>9587</v>
      </c>
    </row>
    <row r="15" spans="4:81" s="4" customFormat="1">
      <c r="D15" s="8"/>
      <c r="E15" s="84"/>
      <c r="F15" s="84"/>
      <c r="G15" s="84"/>
      <c r="H15" s="84"/>
      <c r="I15" s="84"/>
      <c r="J15" s="84"/>
      <c r="K15" s="84"/>
      <c r="L15" s="84"/>
      <c r="M15" s="84"/>
      <c r="N15" s="84"/>
      <c r="O15" s="84"/>
      <c r="P15" s="84"/>
      <c r="R15" s="84"/>
      <c r="S15" s="84"/>
      <c r="T15" s="84"/>
      <c r="U15" s="84"/>
      <c r="V15" s="84"/>
      <c r="W15" s="84"/>
      <c r="X15" s="84"/>
      <c r="Y15" s="84"/>
      <c r="Z15" s="84"/>
      <c r="AA15" s="84"/>
      <c r="AB15" s="84"/>
      <c r="AC15" s="84"/>
      <c r="AE15" s="84"/>
      <c r="AF15" s="84"/>
      <c r="AG15" s="84"/>
      <c r="AH15" s="84"/>
      <c r="AI15" s="84"/>
      <c r="AJ15" s="84"/>
      <c r="AK15" s="84"/>
      <c r="AL15" s="84"/>
      <c r="AM15" s="84"/>
      <c r="AN15" s="84"/>
      <c r="AO15" s="84"/>
      <c r="AP15" s="84"/>
      <c r="AR15" s="84"/>
      <c r="AS15" s="84"/>
      <c r="AT15" s="84"/>
      <c r="AU15" s="84"/>
      <c r="AV15" s="84"/>
      <c r="AW15" s="84"/>
      <c r="AX15" s="84"/>
      <c r="AY15" s="84"/>
      <c r="AZ15" s="84"/>
      <c r="BA15" s="84"/>
      <c r="BB15" s="84"/>
      <c r="BC15" s="84"/>
      <c r="BD15" s="152"/>
      <c r="BE15" s="84"/>
      <c r="BF15" s="84"/>
      <c r="BG15" s="84"/>
      <c r="BH15" s="84"/>
      <c r="BI15" s="84"/>
      <c r="BJ15" s="84"/>
      <c r="BK15" s="84"/>
      <c r="BL15" s="84"/>
      <c r="BM15" s="84"/>
      <c r="BN15" s="84"/>
      <c r="BO15" s="84"/>
      <c r="BP15" s="84"/>
      <c r="BR15" s="84"/>
      <c r="BS15" s="84"/>
      <c r="BT15" s="84"/>
      <c r="BU15" s="84"/>
      <c r="BV15" s="84"/>
      <c r="BW15" s="84"/>
      <c r="BX15" s="84"/>
      <c r="BY15" s="84"/>
      <c r="BZ15" s="84"/>
      <c r="CA15" s="84"/>
      <c r="CB15" s="84"/>
      <c r="CC15" s="84"/>
    </row>
    <row r="16" spans="4:81" s="4" customFormat="1">
      <c r="D16" s="21" t="s">
        <v>220</v>
      </c>
      <c r="E16" s="83">
        <v>11957</v>
      </c>
      <c r="F16" s="83">
        <v>6516</v>
      </c>
      <c r="G16" s="83">
        <v>11413</v>
      </c>
      <c r="H16" s="83">
        <v>12192</v>
      </c>
      <c r="I16" s="83">
        <v>12425</v>
      </c>
      <c r="J16" s="83">
        <v>13238</v>
      </c>
      <c r="K16" s="83">
        <v>12639</v>
      </c>
      <c r="L16" s="83">
        <v>14212</v>
      </c>
      <c r="M16" s="83">
        <v>14920</v>
      </c>
      <c r="N16" s="83">
        <v>14039</v>
      </c>
      <c r="O16" s="83">
        <v>14502</v>
      </c>
      <c r="P16" s="83">
        <v>16908</v>
      </c>
      <c r="R16" s="83">
        <v>10015</v>
      </c>
      <c r="S16" s="83">
        <v>1205</v>
      </c>
      <c r="T16" s="83">
        <v>9560</v>
      </c>
      <c r="U16" s="83">
        <v>14724</v>
      </c>
      <c r="V16" s="83">
        <v>15132</v>
      </c>
      <c r="W16" s="83">
        <v>15105</v>
      </c>
      <c r="X16" s="83">
        <v>14410</v>
      </c>
      <c r="Y16" s="83">
        <v>15835</v>
      </c>
      <c r="Z16" s="83">
        <v>17292</v>
      </c>
      <c r="AA16" s="83">
        <v>16723</v>
      </c>
      <c r="AB16" s="83">
        <v>18032</v>
      </c>
      <c r="AC16" s="83">
        <v>18584</v>
      </c>
      <c r="AE16" s="83">
        <v>19160</v>
      </c>
      <c r="AF16" s="83">
        <v>10083</v>
      </c>
      <c r="AG16" s="83">
        <v>15999</v>
      </c>
      <c r="AH16" s="83">
        <v>16435</v>
      </c>
      <c r="AI16" s="83">
        <v>16895</v>
      </c>
      <c r="AJ16" s="83">
        <v>16680</v>
      </c>
      <c r="AK16" s="83">
        <v>14550</v>
      </c>
      <c r="AL16" s="83">
        <v>13112</v>
      </c>
      <c r="AM16" s="83">
        <v>9696</v>
      </c>
      <c r="AN16" s="83">
        <v>11006</v>
      </c>
      <c r="AO16" s="83">
        <v>13418</v>
      </c>
      <c r="AP16" s="83">
        <v>14642</v>
      </c>
      <c r="AR16" s="83">
        <v>14629</v>
      </c>
      <c r="AS16" s="83">
        <v>8691</v>
      </c>
      <c r="AT16" s="83">
        <v>12378</v>
      </c>
      <c r="AU16" s="83">
        <v>8579</v>
      </c>
      <c r="AV16" s="83">
        <v>9488</v>
      </c>
      <c r="AW16" s="83">
        <v>16468</v>
      </c>
      <c r="AX16" s="83">
        <v>15487</v>
      </c>
      <c r="AY16" s="83">
        <v>17179</v>
      </c>
      <c r="AZ16" s="83">
        <v>14845</v>
      </c>
      <c r="BA16" s="83">
        <v>15048</v>
      </c>
      <c r="BB16" s="83">
        <v>12580</v>
      </c>
      <c r="BC16" s="83">
        <v>16950</v>
      </c>
      <c r="BD16" s="5"/>
      <c r="BE16" s="83">
        <v>11783</v>
      </c>
      <c r="BF16" s="83">
        <v>13066</v>
      </c>
      <c r="BG16" s="83">
        <v>11608</v>
      </c>
      <c r="BH16" s="83">
        <v>12543</v>
      </c>
      <c r="BI16" s="83">
        <v>14121</v>
      </c>
      <c r="BJ16" s="83">
        <v>15405</v>
      </c>
      <c r="BK16" s="83">
        <v>14182</v>
      </c>
      <c r="BL16" s="83">
        <v>15760</v>
      </c>
      <c r="BM16" s="83">
        <v>15460</v>
      </c>
      <c r="BN16" s="83">
        <v>15041</v>
      </c>
      <c r="BO16" s="83">
        <v>15178</v>
      </c>
      <c r="BP16" s="83">
        <v>15944</v>
      </c>
      <c r="BR16" s="83">
        <v>16042</v>
      </c>
      <c r="BS16" s="83">
        <v>7911</v>
      </c>
      <c r="BT16" s="83">
        <v>14005</v>
      </c>
      <c r="BU16" s="83">
        <v>12221</v>
      </c>
      <c r="BV16" s="83">
        <v>13934</v>
      </c>
      <c r="BW16" s="83">
        <v>14049</v>
      </c>
      <c r="BX16" s="83">
        <v>9775</v>
      </c>
      <c r="BY16" s="83">
        <v>12185</v>
      </c>
      <c r="BZ16" s="83">
        <v>12915</v>
      </c>
      <c r="CA16" s="83">
        <v>13502</v>
      </c>
      <c r="CB16" s="83">
        <v>13923</v>
      </c>
      <c r="CC16" s="83">
        <v>15908</v>
      </c>
    </row>
    <row r="17" spans="4:81" s="4" customFormat="1">
      <c r="D17" s="4" t="s">
        <v>38</v>
      </c>
      <c r="E17" s="84"/>
      <c r="F17" s="84"/>
      <c r="G17" s="84"/>
      <c r="H17" s="84"/>
      <c r="I17" s="84"/>
      <c r="J17" s="84"/>
      <c r="K17" s="84"/>
      <c r="L17" s="84"/>
      <c r="M17" s="84"/>
      <c r="N17" s="84"/>
      <c r="O17" s="84"/>
      <c r="P17" s="84"/>
      <c r="R17" s="84"/>
      <c r="S17" s="84"/>
      <c r="T17" s="84"/>
      <c r="U17" s="84"/>
      <c r="V17" s="84"/>
      <c r="W17" s="84"/>
      <c r="X17" s="84"/>
      <c r="Y17" s="84"/>
      <c r="Z17" s="84"/>
      <c r="AA17" s="84">
        <v>16155</v>
      </c>
      <c r="AB17" s="84">
        <v>17162</v>
      </c>
      <c r="AC17" s="84">
        <v>17645</v>
      </c>
      <c r="AE17" s="84">
        <v>18281</v>
      </c>
      <c r="AF17" s="84">
        <v>9775</v>
      </c>
      <c r="AG17" s="84">
        <v>15245</v>
      </c>
      <c r="AH17" s="84">
        <v>15751</v>
      </c>
      <c r="AI17" s="84">
        <v>16146</v>
      </c>
      <c r="AJ17" s="84">
        <v>15921</v>
      </c>
      <c r="AK17" s="84">
        <v>13438</v>
      </c>
      <c r="AL17" s="84">
        <v>12012</v>
      </c>
      <c r="AM17" s="84">
        <v>8877</v>
      </c>
      <c r="AN17" s="84">
        <v>9776</v>
      </c>
      <c r="AO17" s="84">
        <v>11725</v>
      </c>
      <c r="AP17" s="84">
        <v>13032</v>
      </c>
      <c r="AQ17" s="192"/>
      <c r="AR17" s="84">
        <v>13482</v>
      </c>
      <c r="AS17" s="84">
        <v>8009</v>
      </c>
      <c r="AT17" s="84">
        <v>11064</v>
      </c>
      <c r="AU17" s="84">
        <v>7902</v>
      </c>
      <c r="AV17" s="84">
        <v>8941</v>
      </c>
      <c r="AW17" s="84">
        <v>15793</v>
      </c>
      <c r="AX17" s="123">
        <v>14672</v>
      </c>
      <c r="AY17" s="123">
        <v>15842</v>
      </c>
      <c r="AZ17" s="123">
        <v>13788</v>
      </c>
      <c r="BA17" s="123">
        <v>14131</v>
      </c>
      <c r="BB17" s="123">
        <v>11466</v>
      </c>
      <c r="BC17" s="123">
        <v>15017</v>
      </c>
      <c r="BD17" s="5"/>
      <c r="BE17" s="84">
        <v>10525</v>
      </c>
      <c r="BF17" s="84">
        <v>11936</v>
      </c>
      <c r="BG17" s="84">
        <v>10166</v>
      </c>
      <c r="BH17" s="84">
        <v>11283</v>
      </c>
      <c r="BI17" s="84">
        <v>12940</v>
      </c>
      <c r="BJ17" s="84">
        <v>14111</v>
      </c>
      <c r="BK17" s="84">
        <f>BK16-BK20-BK19</f>
        <v>13012</v>
      </c>
      <c r="BL17" s="84">
        <f>BL16-BL20-BL19</f>
        <v>14635</v>
      </c>
      <c r="BM17" s="84">
        <f>BM16-BM20-BM19</f>
        <v>14188</v>
      </c>
      <c r="BN17" s="84">
        <v>13875</v>
      </c>
      <c r="BO17" s="84">
        <v>13835</v>
      </c>
      <c r="BP17" s="84">
        <v>14229</v>
      </c>
      <c r="BR17" s="84">
        <v>15053</v>
      </c>
      <c r="BS17" s="84">
        <v>7496</v>
      </c>
      <c r="BT17" s="84">
        <f>+BT16-BT19-BT20</f>
        <v>12966</v>
      </c>
      <c r="BU17" s="84">
        <v>11159</v>
      </c>
      <c r="BV17" s="84">
        <v>12631</v>
      </c>
      <c r="BW17" s="84">
        <v>12601</v>
      </c>
      <c r="BX17" s="84">
        <v>8645</v>
      </c>
      <c r="BY17" s="84">
        <v>10952</v>
      </c>
      <c r="BZ17" s="84">
        <v>11552</v>
      </c>
      <c r="CA17" s="84">
        <v>12066</v>
      </c>
      <c r="CB17" s="84">
        <v>12076</v>
      </c>
      <c r="CC17" s="84">
        <v>13407</v>
      </c>
    </row>
    <row r="18" spans="4:81" s="4" customFormat="1">
      <c r="D18" s="4" t="s">
        <v>258</v>
      </c>
      <c r="E18" s="84"/>
      <c r="F18" s="84"/>
      <c r="G18" s="84"/>
      <c r="H18" s="84"/>
      <c r="I18" s="84"/>
      <c r="J18" s="84"/>
      <c r="K18" s="84"/>
      <c r="L18" s="84"/>
      <c r="M18" s="84"/>
      <c r="N18" s="84"/>
      <c r="O18" s="84"/>
      <c r="P18" s="84"/>
      <c r="R18" s="84"/>
      <c r="S18" s="84"/>
      <c r="T18" s="84"/>
      <c r="U18" s="84"/>
      <c r="V18" s="84"/>
      <c r="W18" s="84"/>
      <c r="X18" s="84"/>
      <c r="Y18" s="84"/>
      <c r="Z18" s="84"/>
      <c r="AA18" s="84"/>
      <c r="AB18" s="84"/>
      <c r="AC18" s="84"/>
      <c r="AE18" s="84"/>
      <c r="AF18" s="84"/>
      <c r="AG18" s="84"/>
      <c r="AH18" s="84"/>
      <c r="AI18" s="84"/>
      <c r="AJ18" s="84"/>
      <c r="AK18" s="84"/>
      <c r="AL18" s="84"/>
      <c r="AM18" s="84"/>
      <c r="AN18" s="84"/>
      <c r="AO18" s="84"/>
      <c r="AP18" s="84"/>
      <c r="AQ18" s="192"/>
      <c r="AR18" s="84"/>
      <c r="AS18" s="84"/>
      <c r="AT18" s="84"/>
      <c r="AU18" s="84"/>
      <c r="AV18" s="84"/>
      <c r="AW18" s="84"/>
      <c r="AX18" s="150"/>
      <c r="AY18" s="150"/>
      <c r="AZ18" s="150"/>
      <c r="BA18" s="150"/>
      <c r="BB18" s="150"/>
      <c r="BC18" s="150"/>
      <c r="BD18" s="152"/>
      <c r="BE18" s="84"/>
      <c r="BF18" s="84"/>
      <c r="BG18" s="84"/>
      <c r="BH18" s="84"/>
      <c r="BI18" s="84"/>
      <c r="BJ18" s="84"/>
      <c r="BK18" s="84"/>
      <c r="BL18" s="84"/>
      <c r="BM18" s="84"/>
      <c r="BN18" s="84"/>
      <c r="BO18" s="84"/>
      <c r="BP18" s="84"/>
      <c r="BR18" s="84"/>
      <c r="BS18" s="84"/>
      <c r="BT18" s="84"/>
      <c r="BU18" s="84"/>
      <c r="BV18" s="84"/>
      <c r="BW18" s="84"/>
      <c r="BX18" s="84"/>
      <c r="BY18" s="84"/>
      <c r="BZ18" s="84"/>
      <c r="CA18" s="84"/>
      <c r="CB18" s="84"/>
      <c r="CC18" s="84"/>
    </row>
    <row r="19" spans="4:81" s="4" customFormat="1">
      <c r="D19" s="32" t="s">
        <v>259</v>
      </c>
      <c r="E19" s="84"/>
      <c r="F19" s="84"/>
      <c r="G19" s="84"/>
      <c r="H19" s="84"/>
      <c r="I19" s="84"/>
      <c r="J19" s="84"/>
      <c r="K19" s="84"/>
      <c r="L19" s="84"/>
      <c r="M19" s="84"/>
      <c r="N19" s="84"/>
      <c r="O19" s="84"/>
      <c r="P19" s="84"/>
      <c r="R19" s="84"/>
      <c r="S19" s="84"/>
      <c r="T19" s="84"/>
      <c r="U19" s="84"/>
      <c r="V19" s="84"/>
      <c r="W19" s="84"/>
      <c r="X19" s="84"/>
      <c r="Y19" s="84"/>
      <c r="Z19" s="84"/>
      <c r="AA19" s="84">
        <v>568</v>
      </c>
      <c r="AB19" s="84">
        <v>870</v>
      </c>
      <c r="AC19" s="84">
        <v>905</v>
      </c>
      <c r="AE19" s="84">
        <v>777</v>
      </c>
      <c r="AF19" s="84">
        <v>274</v>
      </c>
      <c r="AG19" s="84">
        <v>726</v>
      </c>
      <c r="AH19" s="84">
        <v>648</v>
      </c>
      <c r="AI19" s="84">
        <v>709</v>
      </c>
      <c r="AJ19" s="84">
        <v>716</v>
      </c>
      <c r="AK19" s="84">
        <v>1074</v>
      </c>
      <c r="AL19" s="84">
        <v>1048</v>
      </c>
      <c r="AM19" s="84">
        <v>730</v>
      </c>
      <c r="AN19" s="84">
        <v>1142</v>
      </c>
      <c r="AO19" s="84">
        <v>1532</v>
      </c>
      <c r="AP19" s="84">
        <v>1416</v>
      </c>
      <c r="AQ19" s="192"/>
      <c r="AR19" s="84">
        <v>1039</v>
      </c>
      <c r="AS19" s="84">
        <v>618</v>
      </c>
      <c r="AT19" s="84">
        <v>1051</v>
      </c>
      <c r="AU19" s="84">
        <v>487</v>
      </c>
      <c r="AV19" s="84">
        <v>404</v>
      </c>
      <c r="AW19" s="84">
        <v>557</v>
      </c>
      <c r="AX19" s="123">
        <v>473</v>
      </c>
      <c r="AY19" s="123">
        <v>845</v>
      </c>
      <c r="AZ19" s="123">
        <v>832</v>
      </c>
      <c r="BA19" s="123">
        <v>837</v>
      </c>
      <c r="BB19" s="123">
        <v>917</v>
      </c>
      <c r="BC19" s="123">
        <v>1156</v>
      </c>
      <c r="BD19" s="5"/>
      <c r="BE19" s="84">
        <v>939</v>
      </c>
      <c r="BF19" s="84">
        <v>958</v>
      </c>
      <c r="BG19" s="84">
        <v>1007</v>
      </c>
      <c r="BH19" s="84">
        <v>918</v>
      </c>
      <c r="BI19" s="84">
        <v>918</v>
      </c>
      <c r="BJ19" s="84">
        <v>1024</v>
      </c>
      <c r="BK19" s="84">
        <v>917</v>
      </c>
      <c r="BL19" s="84">
        <v>925</v>
      </c>
      <c r="BM19" s="84">
        <v>995</v>
      </c>
      <c r="BN19" s="84">
        <v>929</v>
      </c>
      <c r="BO19" s="84">
        <v>1079</v>
      </c>
      <c r="BP19" s="84">
        <v>1466</v>
      </c>
      <c r="BR19" s="84">
        <v>828</v>
      </c>
      <c r="BS19" s="84">
        <v>278</v>
      </c>
      <c r="BT19" s="84">
        <v>670</v>
      </c>
      <c r="BU19" s="84">
        <v>604</v>
      </c>
      <c r="BV19" s="84">
        <v>671</v>
      </c>
      <c r="BW19" s="84">
        <v>1037</v>
      </c>
      <c r="BX19" s="84">
        <v>832</v>
      </c>
      <c r="BY19" s="84">
        <v>997</v>
      </c>
      <c r="BZ19" s="84">
        <v>1107</v>
      </c>
      <c r="CA19" s="84">
        <v>1195</v>
      </c>
      <c r="CB19" s="84">
        <v>1426</v>
      </c>
      <c r="CC19" s="84">
        <v>1772</v>
      </c>
    </row>
    <row r="20" spans="4:81" s="4" customFormat="1">
      <c r="D20" s="32" t="s">
        <v>260</v>
      </c>
      <c r="E20" s="84"/>
      <c r="F20" s="84"/>
      <c r="G20" s="84"/>
      <c r="H20" s="84"/>
      <c r="I20" s="84"/>
      <c r="J20" s="84"/>
      <c r="K20" s="84"/>
      <c r="L20" s="84"/>
      <c r="M20" s="84"/>
      <c r="N20" s="84"/>
      <c r="O20" s="84"/>
      <c r="P20" s="84"/>
      <c r="R20" s="84"/>
      <c r="S20" s="84"/>
      <c r="T20" s="84"/>
      <c r="U20" s="84"/>
      <c r="V20" s="84"/>
      <c r="W20" s="84"/>
      <c r="X20" s="84"/>
      <c r="Y20" s="84"/>
      <c r="Z20" s="84"/>
      <c r="AA20" s="84">
        <v>0</v>
      </c>
      <c r="AB20" s="84">
        <v>0</v>
      </c>
      <c r="AC20" s="84">
        <v>34</v>
      </c>
      <c r="AE20" s="84">
        <v>102</v>
      </c>
      <c r="AF20" s="84">
        <v>34</v>
      </c>
      <c r="AG20" s="84">
        <v>28</v>
      </c>
      <c r="AH20" s="84">
        <v>36</v>
      </c>
      <c r="AI20" s="84">
        <v>40</v>
      </c>
      <c r="AJ20" s="84">
        <v>43</v>
      </c>
      <c r="AK20" s="84">
        <v>38</v>
      </c>
      <c r="AL20" s="84">
        <v>52</v>
      </c>
      <c r="AM20" s="84">
        <v>89</v>
      </c>
      <c r="AN20" s="84">
        <v>88</v>
      </c>
      <c r="AO20" s="84">
        <v>161</v>
      </c>
      <c r="AP20" s="84">
        <v>194</v>
      </c>
      <c r="AQ20" s="192"/>
      <c r="AR20" s="84">
        <v>108</v>
      </c>
      <c r="AS20" s="84">
        <v>64</v>
      </c>
      <c r="AT20" s="84">
        <v>263</v>
      </c>
      <c r="AU20" s="84">
        <v>190</v>
      </c>
      <c r="AV20" s="84">
        <v>143</v>
      </c>
      <c r="AW20" s="84">
        <v>118</v>
      </c>
      <c r="AX20" s="84">
        <v>342</v>
      </c>
      <c r="AY20" s="84">
        <v>492</v>
      </c>
      <c r="AZ20" s="84">
        <v>225</v>
      </c>
      <c r="BA20" s="84">
        <v>80</v>
      </c>
      <c r="BB20" s="84">
        <v>197</v>
      </c>
      <c r="BC20" s="84">
        <v>777</v>
      </c>
      <c r="BD20" s="5"/>
      <c r="BE20" s="84">
        <v>319</v>
      </c>
      <c r="BF20" s="84">
        <v>172</v>
      </c>
      <c r="BG20" s="84">
        <v>435</v>
      </c>
      <c r="BH20" s="84">
        <v>342</v>
      </c>
      <c r="BI20" s="84">
        <v>263</v>
      </c>
      <c r="BJ20" s="84">
        <v>270</v>
      </c>
      <c r="BK20" s="84">
        <v>253</v>
      </c>
      <c r="BL20" s="84">
        <v>200</v>
      </c>
      <c r="BM20" s="84">
        <v>277</v>
      </c>
      <c r="BN20" s="84">
        <v>237</v>
      </c>
      <c r="BO20" s="84">
        <v>264</v>
      </c>
      <c r="BP20" s="84">
        <v>249</v>
      </c>
      <c r="BR20" s="84">
        <v>161</v>
      </c>
      <c r="BS20" s="84">
        <v>137</v>
      </c>
      <c r="BT20" s="84">
        <v>369</v>
      </c>
      <c r="BU20" s="84">
        <v>458</v>
      </c>
      <c r="BV20" s="84">
        <v>632</v>
      </c>
      <c r="BW20" s="84">
        <v>411</v>
      </c>
      <c r="BX20" s="84">
        <v>298</v>
      </c>
      <c r="BY20" s="84">
        <v>236</v>
      </c>
      <c r="BZ20" s="84">
        <v>256</v>
      </c>
      <c r="CA20" s="84">
        <v>241</v>
      </c>
      <c r="CB20" s="84">
        <v>421</v>
      </c>
      <c r="CC20" s="84">
        <v>729</v>
      </c>
    </row>
    <row r="21" spans="4:81" s="4" customFormat="1">
      <c r="D21" s="8"/>
      <c r="E21" s="84"/>
      <c r="F21" s="84"/>
      <c r="G21" s="84"/>
      <c r="H21" s="84"/>
      <c r="I21" s="84"/>
      <c r="J21" s="84"/>
      <c r="K21" s="84"/>
      <c r="L21" s="84"/>
      <c r="M21" s="84"/>
      <c r="N21" s="84"/>
      <c r="O21" s="84"/>
      <c r="P21" s="84"/>
      <c r="R21" s="84"/>
      <c r="S21" s="84"/>
      <c r="T21" s="84"/>
      <c r="U21" s="84"/>
      <c r="V21" s="84"/>
      <c r="W21" s="84"/>
      <c r="X21" s="84"/>
      <c r="Y21" s="84"/>
      <c r="Z21" s="84"/>
      <c r="AA21" s="84"/>
      <c r="AB21" s="84"/>
      <c r="AC21" s="84"/>
      <c r="AE21" s="84"/>
      <c r="AF21" s="84"/>
      <c r="AG21" s="84"/>
      <c r="AH21" s="84"/>
      <c r="AI21" s="84"/>
      <c r="AJ21" s="84"/>
      <c r="AK21" s="84"/>
      <c r="AL21" s="84"/>
      <c r="AM21" s="84"/>
      <c r="AN21" s="84"/>
      <c r="AO21" s="84"/>
      <c r="AP21" s="84"/>
      <c r="AR21" s="84"/>
      <c r="AS21" s="84"/>
      <c r="AT21" s="84"/>
      <c r="AU21" s="84"/>
      <c r="AV21" s="84"/>
      <c r="AW21" s="84"/>
      <c r="AX21" s="84"/>
      <c r="AY21" s="84"/>
      <c r="AZ21" s="84"/>
      <c r="BA21" s="84"/>
      <c r="BB21" s="84"/>
      <c r="BC21" s="84"/>
      <c r="BD21" s="5"/>
      <c r="BE21" s="84"/>
      <c r="BF21" s="84"/>
      <c r="BG21" s="84"/>
      <c r="BH21" s="84"/>
      <c r="BI21" s="84"/>
      <c r="BJ21" s="84"/>
      <c r="BK21" s="84"/>
      <c r="BL21" s="84"/>
      <c r="BM21" s="84"/>
      <c r="BN21" s="84"/>
      <c r="BO21" s="84"/>
      <c r="BP21" s="84"/>
      <c r="BR21" s="84"/>
      <c r="BS21" s="84"/>
      <c r="BT21" s="84"/>
      <c r="BU21" s="84"/>
      <c r="BV21" s="84"/>
      <c r="BW21" s="84"/>
      <c r="BX21" s="84"/>
      <c r="BY21" s="84"/>
      <c r="BZ21" s="84"/>
      <c r="CA21" s="84"/>
      <c r="CB21" s="84"/>
      <c r="CC21" s="84"/>
    </row>
    <row r="22" spans="4:81" s="4" customFormat="1">
      <c r="D22" s="21" t="s">
        <v>221</v>
      </c>
      <c r="E22" s="83">
        <v>5854</v>
      </c>
      <c r="F22" s="83">
        <v>6635</v>
      </c>
      <c r="G22" s="83">
        <v>9569</v>
      </c>
      <c r="H22" s="83">
        <v>8367</v>
      </c>
      <c r="I22" s="83">
        <v>9761</v>
      </c>
      <c r="J22" s="83">
        <v>9934</v>
      </c>
      <c r="K22" s="83">
        <v>8795</v>
      </c>
      <c r="L22" s="83">
        <v>9194</v>
      </c>
      <c r="M22" s="83">
        <v>9323</v>
      </c>
      <c r="N22" s="83">
        <v>8807</v>
      </c>
      <c r="O22" s="83">
        <v>9635</v>
      </c>
      <c r="P22" s="83">
        <v>12360</v>
      </c>
      <c r="R22" s="83">
        <v>6157</v>
      </c>
      <c r="S22" s="83">
        <v>7841</v>
      </c>
      <c r="T22" s="83">
        <v>5487</v>
      </c>
      <c r="U22" s="83">
        <v>3866</v>
      </c>
      <c r="V22" s="83">
        <v>9519</v>
      </c>
      <c r="W22" s="83">
        <v>10385</v>
      </c>
      <c r="X22" s="83">
        <v>9697</v>
      </c>
      <c r="Y22" s="83">
        <v>10378</v>
      </c>
      <c r="Z22" s="83">
        <v>10274</v>
      </c>
      <c r="AA22" s="83">
        <v>10691</v>
      </c>
      <c r="AB22" s="83">
        <v>11590</v>
      </c>
      <c r="AC22" s="83">
        <v>14244</v>
      </c>
      <c r="AE22" s="83">
        <v>8151</v>
      </c>
      <c r="AF22" s="83">
        <v>9164</v>
      </c>
      <c r="AG22" s="83">
        <v>9924</v>
      </c>
      <c r="AH22" s="83">
        <v>11036</v>
      </c>
      <c r="AI22" s="83">
        <v>13221</v>
      </c>
      <c r="AJ22" s="83">
        <v>12258</v>
      </c>
      <c r="AK22" s="83">
        <v>11575</v>
      </c>
      <c r="AL22" s="83">
        <v>10686</v>
      </c>
      <c r="AM22" s="83">
        <v>9350</v>
      </c>
      <c r="AN22" s="83">
        <v>8701</v>
      </c>
      <c r="AO22" s="83">
        <v>7667</v>
      </c>
      <c r="AP22" s="83">
        <v>10440</v>
      </c>
      <c r="AR22" s="83">
        <v>7110</v>
      </c>
      <c r="AS22" s="83">
        <v>6219</v>
      </c>
      <c r="AT22" s="83">
        <v>9428</v>
      </c>
      <c r="AU22" s="83">
        <v>10022</v>
      </c>
      <c r="AV22" s="83">
        <v>9372</v>
      </c>
      <c r="AW22" s="83">
        <v>8434</v>
      </c>
      <c r="AX22" s="83">
        <v>6868</v>
      </c>
      <c r="AY22" s="83">
        <v>8136</v>
      </c>
      <c r="AZ22" s="83">
        <v>6627</v>
      </c>
      <c r="BA22" s="83">
        <v>9478</v>
      </c>
      <c r="BB22" s="83">
        <v>9233</v>
      </c>
      <c r="BC22" s="83">
        <v>11111</v>
      </c>
      <c r="BD22" s="5"/>
      <c r="BE22" s="83">
        <v>7693</v>
      </c>
      <c r="BF22" s="83">
        <v>8560</v>
      </c>
      <c r="BG22" s="83">
        <v>10230</v>
      </c>
      <c r="BH22" s="83">
        <v>9611</v>
      </c>
      <c r="BI22" s="83">
        <v>10723</v>
      </c>
      <c r="BJ22" s="83">
        <v>12933</v>
      </c>
      <c r="BK22" s="83">
        <v>10785</v>
      </c>
      <c r="BL22" s="83">
        <v>10644</v>
      </c>
      <c r="BM22" s="83">
        <v>10946</v>
      </c>
      <c r="BN22" s="83">
        <v>11296</v>
      </c>
      <c r="BO22" s="83">
        <v>11671</v>
      </c>
      <c r="BP22" s="83">
        <v>13609</v>
      </c>
      <c r="BR22" s="83">
        <v>7716</v>
      </c>
      <c r="BS22" s="83">
        <v>7920</v>
      </c>
      <c r="BT22" s="83">
        <v>15315</v>
      </c>
      <c r="BU22" s="83">
        <v>10604</v>
      </c>
      <c r="BV22" s="83">
        <v>10153</v>
      </c>
      <c r="BW22" s="83">
        <v>9304</v>
      </c>
      <c r="BX22" s="83">
        <v>9597</v>
      </c>
      <c r="BY22" s="83">
        <v>10420</v>
      </c>
      <c r="BZ22" s="83">
        <v>8518</v>
      </c>
      <c r="CA22" s="83">
        <v>9360</v>
      </c>
      <c r="CB22" s="83">
        <v>12259</v>
      </c>
      <c r="CC22" s="83">
        <v>14077</v>
      </c>
    </row>
    <row r="23" spans="4:81" s="4" customFormat="1">
      <c r="D23" s="4" t="s">
        <v>38</v>
      </c>
      <c r="E23" s="84"/>
      <c r="F23" s="84"/>
      <c r="G23" s="84"/>
      <c r="H23" s="84"/>
      <c r="I23" s="84"/>
      <c r="J23" s="84"/>
      <c r="K23" s="84"/>
      <c r="L23" s="84"/>
      <c r="M23" s="84"/>
      <c r="N23" s="84"/>
      <c r="O23" s="84"/>
      <c r="P23" s="84"/>
      <c r="R23" s="84"/>
      <c r="S23" s="84"/>
      <c r="T23" s="84"/>
      <c r="U23" s="84"/>
      <c r="V23" s="84"/>
      <c r="W23" s="84"/>
      <c r="X23" s="84"/>
      <c r="Y23" s="84"/>
      <c r="Z23" s="84"/>
      <c r="AA23" s="84">
        <v>9694</v>
      </c>
      <c r="AB23" s="84">
        <v>10383</v>
      </c>
      <c r="AC23" s="84">
        <v>12379</v>
      </c>
      <c r="AE23" s="84">
        <v>7336</v>
      </c>
      <c r="AF23" s="84">
        <v>8126</v>
      </c>
      <c r="AG23" s="84">
        <v>8656</v>
      </c>
      <c r="AH23" s="84">
        <v>9307</v>
      </c>
      <c r="AI23" s="84">
        <v>10471</v>
      </c>
      <c r="AJ23" s="84">
        <v>9784</v>
      </c>
      <c r="AK23" s="84">
        <v>9300</v>
      </c>
      <c r="AL23" s="84">
        <v>8706</v>
      </c>
      <c r="AM23" s="84">
        <v>7650</v>
      </c>
      <c r="AN23" s="84">
        <v>6599</v>
      </c>
      <c r="AO23" s="84">
        <v>5955</v>
      </c>
      <c r="AP23" s="84">
        <v>7463</v>
      </c>
      <c r="AQ23" s="192"/>
      <c r="AR23" s="84">
        <v>5202</v>
      </c>
      <c r="AS23" s="84">
        <v>4539</v>
      </c>
      <c r="AT23" s="84">
        <v>6998</v>
      </c>
      <c r="AU23" s="84">
        <v>5601</v>
      </c>
      <c r="AV23" s="84">
        <v>6024</v>
      </c>
      <c r="AW23" s="84">
        <v>6316</v>
      </c>
      <c r="AX23" s="123">
        <v>5907</v>
      </c>
      <c r="AY23" s="123">
        <v>6756</v>
      </c>
      <c r="AZ23" s="123">
        <v>5458</v>
      </c>
      <c r="BA23" s="123">
        <v>6950</v>
      </c>
      <c r="BB23" s="123">
        <v>6469</v>
      </c>
      <c r="BC23" s="123">
        <v>7909</v>
      </c>
      <c r="BD23" s="5"/>
      <c r="BE23" s="84">
        <v>5323</v>
      </c>
      <c r="BF23" s="84">
        <v>6124</v>
      </c>
      <c r="BG23" s="84">
        <v>7325</v>
      </c>
      <c r="BH23" s="84">
        <v>6665</v>
      </c>
      <c r="BI23" s="84">
        <v>7684</v>
      </c>
      <c r="BJ23" s="84">
        <v>9140</v>
      </c>
      <c r="BK23" s="84">
        <f>BK22-BK26-BK25</f>
        <v>7653</v>
      </c>
      <c r="BL23" s="84">
        <f>BL22-BL26-BL25</f>
        <v>7971</v>
      </c>
      <c r="BM23" s="84">
        <f>BM22-BM26-BM25</f>
        <v>7894</v>
      </c>
      <c r="BN23" s="84">
        <v>8255</v>
      </c>
      <c r="BO23" s="84">
        <v>8633</v>
      </c>
      <c r="BP23" s="84">
        <v>10377</v>
      </c>
      <c r="BR23" s="84">
        <v>5841</v>
      </c>
      <c r="BS23" s="84">
        <v>5349</v>
      </c>
      <c r="BT23" s="84">
        <f>+BT22-BT25-BT26</f>
        <v>11673</v>
      </c>
      <c r="BU23" s="84">
        <v>7270</v>
      </c>
      <c r="BV23" s="84">
        <v>6239</v>
      </c>
      <c r="BW23" s="84">
        <v>5989</v>
      </c>
      <c r="BX23" s="84">
        <v>5835</v>
      </c>
      <c r="BY23" s="84">
        <v>6487</v>
      </c>
      <c r="BZ23" s="84">
        <v>5102</v>
      </c>
      <c r="CA23" s="84">
        <v>5786</v>
      </c>
      <c r="CB23" s="84">
        <v>7465</v>
      </c>
      <c r="CC23" s="84">
        <v>9305</v>
      </c>
    </row>
    <row r="24" spans="4:81" s="4" customFormat="1">
      <c r="D24" s="4" t="s">
        <v>258</v>
      </c>
      <c r="E24" s="84"/>
      <c r="F24" s="84"/>
      <c r="G24" s="84"/>
      <c r="H24" s="84"/>
      <c r="I24" s="84"/>
      <c r="J24" s="84"/>
      <c r="K24" s="84"/>
      <c r="L24" s="84"/>
      <c r="M24" s="84"/>
      <c r="N24" s="84"/>
      <c r="O24" s="84"/>
      <c r="P24" s="84"/>
      <c r="R24" s="84"/>
      <c r="S24" s="84"/>
      <c r="T24" s="84"/>
      <c r="U24" s="84"/>
      <c r="V24" s="84"/>
      <c r="W24" s="84"/>
      <c r="X24" s="84"/>
      <c r="Y24" s="84"/>
      <c r="Z24" s="84"/>
      <c r="AA24" s="84"/>
      <c r="AB24" s="84"/>
      <c r="AC24" s="84"/>
      <c r="AE24" s="84"/>
      <c r="AF24" s="84"/>
      <c r="AG24" s="84"/>
      <c r="AH24" s="84"/>
      <c r="AI24" s="84"/>
      <c r="AJ24" s="84"/>
      <c r="AK24" s="84"/>
      <c r="AL24" s="84"/>
      <c r="AM24" s="84"/>
      <c r="AN24" s="84"/>
      <c r="AO24" s="84"/>
      <c r="AP24" s="84"/>
      <c r="AQ24" s="192"/>
      <c r="AR24" s="84"/>
      <c r="AS24" s="84"/>
      <c r="AT24" s="84"/>
      <c r="AU24" s="84"/>
      <c r="AV24" s="84"/>
      <c r="AW24" s="84"/>
      <c r="AX24" s="150"/>
      <c r="AY24" s="150"/>
      <c r="AZ24" s="150"/>
      <c r="BA24" s="150"/>
      <c r="BB24" s="150"/>
      <c r="BC24" s="150"/>
      <c r="BD24" s="152"/>
      <c r="BE24" s="84"/>
      <c r="BF24" s="84"/>
      <c r="BG24" s="84"/>
      <c r="BH24" s="84"/>
      <c r="BI24" s="84"/>
      <c r="BJ24" s="84"/>
      <c r="BK24" s="84"/>
      <c r="BL24" s="84"/>
      <c r="BM24" s="84"/>
      <c r="BN24" s="84"/>
      <c r="BO24" s="84"/>
      <c r="BP24" s="84"/>
      <c r="BR24" s="84"/>
      <c r="BS24" s="84"/>
      <c r="BT24" s="84"/>
      <c r="BU24" s="84"/>
      <c r="BV24" s="84"/>
      <c r="BW24" s="84"/>
      <c r="BX24" s="84"/>
      <c r="BY24" s="84"/>
      <c r="BZ24" s="84"/>
      <c r="CA24" s="84"/>
      <c r="CB24" s="84"/>
      <c r="CC24" s="84"/>
    </row>
    <row r="25" spans="4:81" s="4" customFormat="1">
      <c r="D25" s="32" t="s">
        <v>259</v>
      </c>
      <c r="E25" s="84"/>
      <c r="F25" s="84"/>
      <c r="G25" s="84"/>
      <c r="H25" s="84"/>
      <c r="I25" s="84"/>
      <c r="J25" s="84"/>
      <c r="K25" s="84"/>
      <c r="L25" s="84"/>
      <c r="M25" s="84"/>
      <c r="N25" s="84"/>
      <c r="O25" s="84"/>
      <c r="P25" s="84"/>
      <c r="R25" s="84"/>
      <c r="S25" s="84"/>
      <c r="T25" s="84"/>
      <c r="U25" s="84"/>
      <c r="V25" s="84"/>
      <c r="W25" s="84"/>
      <c r="X25" s="84"/>
      <c r="Y25" s="84"/>
      <c r="Z25" s="84"/>
      <c r="AA25" s="84">
        <v>995</v>
      </c>
      <c r="AB25" s="84">
        <v>1154</v>
      </c>
      <c r="AC25" s="84">
        <v>1765</v>
      </c>
      <c r="AE25" s="84">
        <v>672</v>
      </c>
      <c r="AF25" s="84">
        <v>913</v>
      </c>
      <c r="AG25" s="84">
        <v>1216</v>
      </c>
      <c r="AH25" s="84">
        <v>1396</v>
      </c>
      <c r="AI25" s="84">
        <v>1805</v>
      </c>
      <c r="AJ25" s="84">
        <v>1746</v>
      </c>
      <c r="AK25" s="84">
        <v>1374</v>
      </c>
      <c r="AL25" s="84">
        <v>1272</v>
      </c>
      <c r="AM25" s="84">
        <v>1217</v>
      </c>
      <c r="AN25" s="84">
        <v>1295</v>
      </c>
      <c r="AO25" s="84">
        <v>1300</v>
      </c>
      <c r="AP25" s="84">
        <v>2222</v>
      </c>
      <c r="AQ25" s="192"/>
      <c r="AR25" s="84">
        <v>1480</v>
      </c>
      <c r="AS25" s="84">
        <v>1124</v>
      </c>
      <c r="AT25" s="84">
        <v>1756</v>
      </c>
      <c r="AU25" s="84">
        <v>3628</v>
      </c>
      <c r="AV25" s="84">
        <v>2541</v>
      </c>
      <c r="AW25" s="84">
        <v>1565</v>
      </c>
      <c r="AX25" s="123">
        <v>867</v>
      </c>
      <c r="AY25" s="123">
        <v>1174</v>
      </c>
      <c r="AZ25" s="123">
        <v>1015</v>
      </c>
      <c r="BA25" s="123">
        <v>1693</v>
      </c>
      <c r="BB25" s="123">
        <v>1688</v>
      </c>
      <c r="BC25" s="123">
        <v>2070</v>
      </c>
      <c r="BD25" s="5"/>
      <c r="BE25" s="84">
        <v>1599</v>
      </c>
      <c r="BF25" s="84">
        <v>1463</v>
      </c>
      <c r="BG25" s="84">
        <v>1867</v>
      </c>
      <c r="BH25" s="84">
        <v>1590</v>
      </c>
      <c r="BI25" s="84">
        <v>1697</v>
      </c>
      <c r="BJ25" s="84">
        <v>1670</v>
      </c>
      <c r="BK25" s="84">
        <v>1877</v>
      </c>
      <c r="BL25" s="84">
        <v>1814</v>
      </c>
      <c r="BM25" s="84">
        <v>1926</v>
      </c>
      <c r="BN25" s="84">
        <v>1801</v>
      </c>
      <c r="BO25" s="84">
        <v>2198</v>
      </c>
      <c r="BP25" s="84">
        <v>2546</v>
      </c>
      <c r="BR25" s="84">
        <v>1615</v>
      </c>
      <c r="BS25" s="84">
        <v>2212</v>
      </c>
      <c r="BT25" s="84">
        <v>3291</v>
      </c>
      <c r="BU25" s="84">
        <v>3006</v>
      </c>
      <c r="BV25" s="84">
        <v>3617</v>
      </c>
      <c r="BW25" s="84">
        <v>2929</v>
      </c>
      <c r="BX25" s="84">
        <v>3242</v>
      </c>
      <c r="BY25" s="84">
        <v>3345</v>
      </c>
      <c r="BZ25" s="84">
        <v>2750</v>
      </c>
      <c r="CA25" s="84">
        <v>3003</v>
      </c>
      <c r="CB25" s="84">
        <v>4301</v>
      </c>
      <c r="CC25" s="84">
        <v>3983</v>
      </c>
    </row>
    <row r="26" spans="4:81" s="4" customFormat="1">
      <c r="D26" s="32" t="s">
        <v>260</v>
      </c>
      <c r="E26" s="84"/>
      <c r="F26" s="84"/>
      <c r="G26" s="84"/>
      <c r="H26" s="84"/>
      <c r="I26" s="84"/>
      <c r="J26" s="84"/>
      <c r="K26" s="84"/>
      <c r="L26" s="84"/>
      <c r="M26" s="84"/>
      <c r="N26" s="84"/>
      <c r="O26" s="84"/>
      <c r="P26" s="84"/>
      <c r="R26" s="84"/>
      <c r="S26" s="84"/>
      <c r="T26" s="84"/>
      <c r="U26" s="84"/>
      <c r="V26" s="84"/>
      <c r="W26" s="84"/>
      <c r="X26" s="84"/>
      <c r="Y26" s="84"/>
      <c r="Z26" s="84"/>
      <c r="AA26" s="84">
        <v>2</v>
      </c>
      <c r="AB26" s="84">
        <v>53</v>
      </c>
      <c r="AC26" s="84">
        <v>100</v>
      </c>
      <c r="AE26" s="84">
        <v>143</v>
      </c>
      <c r="AF26" s="84">
        <v>125</v>
      </c>
      <c r="AG26" s="84">
        <v>52</v>
      </c>
      <c r="AH26" s="84">
        <v>333</v>
      </c>
      <c r="AI26" s="84">
        <v>945</v>
      </c>
      <c r="AJ26" s="84">
        <v>728</v>
      </c>
      <c r="AK26" s="84">
        <v>901</v>
      </c>
      <c r="AL26" s="84">
        <v>708</v>
      </c>
      <c r="AM26" s="84">
        <v>483</v>
      </c>
      <c r="AN26" s="84">
        <v>807</v>
      </c>
      <c r="AO26" s="84">
        <v>412</v>
      </c>
      <c r="AP26" s="84">
        <v>755</v>
      </c>
      <c r="AQ26" s="152"/>
      <c r="AR26" s="84">
        <v>428</v>
      </c>
      <c r="AS26" s="84">
        <v>556</v>
      </c>
      <c r="AT26" s="84">
        <v>674</v>
      </c>
      <c r="AU26" s="84">
        <v>793</v>
      </c>
      <c r="AV26" s="84">
        <v>807</v>
      </c>
      <c r="AW26" s="84">
        <v>553</v>
      </c>
      <c r="AX26" s="84">
        <v>94</v>
      </c>
      <c r="AY26" s="84">
        <v>206</v>
      </c>
      <c r="AZ26" s="84">
        <v>154</v>
      </c>
      <c r="BA26" s="84">
        <v>835</v>
      </c>
      <c r="BB26" s="84">
        <v>1076</v>
      </c>
      <c r="BC26" s="84">
        <v>1132</v>
      </c>
      <c r="BD26" s="5"/>
      <c r="BE26" s="84">
        <v>771</v>
      </c>
      <c r="BF26" s="84">
        <v>973</v>
      </c>
      <c r="BG26" s="84">
        <v>1038</v>
      </c>
      <c r="BH26" s="84">
        <v>1356</v>
      </c>
      <c r="BI26" s="84">
        <v>1342</v>
      </c>
      <c r="BJ26" s="84">
        <v>2123</v>
      </c>
      <c r="BK26" s="84">
        <v>1255</v>
      </c>
      <c r="BL26" s="84">
        <v>859</v>
      </c>
      <c r="BM26" s="84">
        <v>1126</v>
      </c>
      <c r="BN26" s="84">
        <v>1240</v>
      </c>
      <c r="BO26" s="84">
        <v>840</v>
      </c>
      <c r="BP26" s="84">
        <v>686</v>
      </c>
      <c r="BR26" s="84">
        <v>260</v>
      </c>
      <c r="BS26" s="84">
        <v>359</v>
      </c>
      <c r="BT26" s="84">
        <v>351</v>
      </c>
      <c r="BU26" s="84">
        <v>328</v>
      </c>
      <c r="BV26" s="84">
        <v>297</v>
      </c>
      <c r="BW26" s="84">
        <v>386</v>
      </c>
      <c r="BX26" s="84">
        <v>520</v>
      </c>
      <c r="BY26" s="84">
        <v>588</v>
      </c>
      <c r="BZ26" s="84">
        <v>666</v>
      </c>
      <c r="CA26" s="84">
        <v>571</v>
      </c>
      <c r="CB26" s="84">
        <v>493</v>
      </c>
      <c r="CC26" s="84">
        <v>789</v>
      </c>
    </row>
    <row r="27" spans="4:81" s="4" customFormat="1">
      <c r="D27" s="8"/>
      <c r="E27" s="84"/>
      <c r="F27" s="84"/>
      <c r="G27" s="84"/>
      <c r="H27" s="84"/>
      <c r="I27" s="84"/>
      <c r="J27" s="84"/>
      <c r="K27" s="84"/>
      <c r="L27" s="84"/>
      <c r="M27" s="84"/>
      <c r="N27" s="84"/>
      <c r="O27" s="84"/>
      <c r="P27" s="84"/>
      <c r="R27" s="84"/>
      <c r="S27" s="84"/>
      <c r="T27" s="84"/>
      <c r="U27" s="84"/>
      <c r="V27" s="84"/>
      <c r="W27" s="84"/>
      <c r="X27" s="84"/>
      <c r="Y27" s="84"/>
      <c r="Z27" s="84"/>
      <c r="AA27" s="84"/>
      <c r="AB27" s="84"/>
      <c r="AC27" s="84"/>
      <c r="AE27" s="84"/>
      <c r="AF27" s="84"/>
      <c r="AG27" s="84"/>
      <c r="AH27" s="84"/>
      <c r="AI27" s="84"/>
      <c r="AJ27" s="84"/>
      <c r="AK27" s="84"/>
      <c r="AL27" s="84"/>
      <c r="AM27" s="84"/>
      <c r="AN27" s="84"/>
      <c r="AO27" s="84"/>
      <c r="AP27" s="84"/>
      <c r="AR27" s="84"/>
      <c r="AS27" s="84"/>
      <c r="AT27" s="84"/>
      <c r="AU27" s="84"/>
      <c r="AV27" s="84"/>
      <c r="AW27" s="84"/>
      <c r="AX27" s="84"/>
      <c r="AY27" s="84"/>
      <c r="AZ27" s="84"/>
      <c r="BA27" s="84"/>
      <c r="BB27" s="84"/>
      <c r="BC27" s="84"/>
      <c r="BD27" s="152"/>
      <c r="BE27" s="84"/>
      <c r="BF27" s="84"/>
      <c r="BG27" s="84"/>
      <c r="BH27" s="84"/>
      <c r="BI27" s="84"/>
      <c r="BJ27" s="84"/>
      <c r="BK27" s="84"/>
      <c r="BL27" s="84"/>
      <c r="BM27" s="84"/>
      <c r="BN27" s="84"/>
      <c r="BO27" s="84"/>
      <c r="BP27" s="84"/>
      <c r="BR27" s="84"/>
      <c r="BS27" s="84"/>
      <c r="BT27" s="84"/>
      <c r="BU27" s="84"/>
      <c r="BV27" s="84"/>
      <c r="BW27" s="84"/>
      <c r="BX27" s="84"/>
      <c r="BY27" s="84"/>
      <c r="BZ27" s="84"/>
      <c r="CA27" s="84"/>
      <c r="CB27" s="84"/>
      <c r="CC27" s="84"/>
    </row>
    <row r="28" spans="4:81" s="4" customFormat="1">
      <c r="D28" s="21" t="s">
        <v>222</v>
      </c>
      <c r="E28" s="83">
        <v>6639</v>
      </c>
      <c r="F28" s="83">
        <v>7004</v>
      </c>
      <c r="G28" s="83">
        <v>9109</v>
      </c>
      <c r="H28" s="83">
        <v>7973</v>
      </c>
      <c r="I28" s="83">
        <v>8279</v>
      </c>
      <c r="J28" s="83">
        <v>9308</v>
      </c>
      <c r="K28" s="83">
        <v>7594</v>
      </c>
      <c r="L28" s="83">
        <v>7728</v>
      </c>
      <c r="M28" s="83">
        <v>9170</v>
      </c>
      <c r="N28" s="83">
        <v>8553</v>
      </c>
      <c r="O28" s="83">
        <v>9090</v>
      </c>
      <c r="P28" s="83">
        <v>10610</v>
      </c>
      <c r="R28" s="83">
        <v>6742</v>
      </c>
      <c r="S28" s="83">
        <v>7216</v>
      </c>
      <c r="T28" s="83">
        <v>7069</v>
      </c>
      <c r="U28" s="83">
        <v>3885</v>
      </c>
      <c r="V28" s="83">
        <v>5180</v>
      </c>
      <c r="W28" s="83">
        <v>7676</v>
      </c>
      <c r="X28" s="83">
        <v>9436</v>
      </c>
      <c r="Y28" s="83">
        <v>7524</v>
      </c>
      <c r="Z28" s="83">
        <v>9156</v>
      </c>
      <c r="AA28" s="83">
        <v>9695</v>
      </c>
      <c r="AB28" s="83">
        <v>10826</v>
      </c>
      <c r="AC28" s="83">
        <v>12255</v>
      </c>
      <c r="AE28" s="83">
        <v>7413</v>
      </c>
      <c r="AF28" s="83">
        <v>7585</v>
      </c>
      <c r="AG28" s="83">
        <v>10669</v>
      </c>
      <c r="AH28" s="83">
        <v>9437</v>
      </c>
      <c r="AI28" s="83">
        <v>9234</v>
      </c>
      <c r="AJ28" s="83">
        <v>10591</v>
      </c>
      <c r="AK28" s="83">
        <v>8350</v>
      </c>
      <c r="AL28" s="83">
        <v>8936</v>
      </c>
      <c r="AM28" s="83">
        <v>10088</v>
      </c>
      <c r="AN28" s="83">
        <v>8984</v>
      </c>
      <c r="AO28" s="83">
        <v>9293</v>
      </c>
      <c r="AP28" s="83">
        <v>10793</v>
      </c>
      <c r="AR28" s="83">
        <v>7131</v>
      </c>
      <c r="AS28" s="83">
        <v>7645</v>
      </c>
      <c r="AT28" s="83">
        <v>9907</v>
      </c>
      <c r="AU28" s="83">
        <v>8727</v>
      </c>
      <c r="AV28" s="83">
        <v>8340</v>
      </c>
      <c r="AW28" s="83">
        <v>8963</v>
      </c>
      <c r="AX28" s="83">
        <v>6416</v>
      </c>
      <c r="AY28" s="83">
        <v>7356</v>
      </c>
      <c r="AZ28" s="83">
        <v>8526</v>
      </c>
      <c r="BA28" s="83">
        <v>7761</v>
      </c>
      <c r="BB28" s="83">
        <v>11381</v>
      </c>
      <c r="BC28" s="83">
        <v>11195</v>
      </c>
      <c r="BD28" s="5"/>
      <c r="BE28" s="83">
        <v>7608</v>
      </c>
      <c r="BF28" s="83">
        <v>8382</v>
      </c>
      <c r="BG28" s="83">
        <v>11337</v>
      </c>
      <c r="BH28" s="83">
        <v>9018</v>
      </c>
      <c r="BI28" s="83">
        <v>9282</v>
      </c>
      <c r="BJ28" s="83">
        <v>10845</v>
      </c>
      <c r="BK28" s="83">
        <v>8912</v>
      </c>
      <c r="BL28" s="83">
        <v>9181</v>
      </c>
      <c r="BM28" s="83">
        <v>9771</v>
      </c>
      <c r="BN28" s="83">
        <v>8632</v>
      </c>
      <c r="BO28" s="83">
        <v>10426</v>
      </c>
      <c r="BP28" s="83">
        <v>11736</v>
      </c>
      <c r="BR28" s="83">
        <v>6503</v>
      </c>
      <c r="BS28" s="83">
        <v>7711</v>
      </c>
      <c r="BT28" s="83">
        <v>9894</v>
      </c>
      <c r="BU28" s="83">
        <v>8775</v>
      </c>
      <c r="BV28" s="83">
        <v>10695</v>
      </c>
      <c r="BW28" s="83">
        <v>11687</v>
      </c>
      <c r="BX28" s="83">
        <v>9685</v>
      </c>
      <c r="BY28" s="83">
        <v>9220</v>
      </c>
      <c r="BZ28" s="83">
        <v>9749</v>
      </c>
      <c r="CA28" s="83">
        <v>8657</v>
      </c>
      <c r="CB28" s="83">
        <v>9184</v>
      </c>
      <c r="CC28" s="83">
        <v>10331</v>
      </c>
    </row>
    <row r="29" spans="4:81" s="4" customFormat="1">
      <c r="D29" s="4" t="s">
        <v>38</v>
      </c>
      <c r="E29" s="84"/>
      <c r="F29" s="84"/>
      <c r="G29" s="84"/>
      <c r="H29" s="84"/>
      <c r="I29" s="84"/>
      <c r="J29" s="84"/>
      <c r="K29" s="84"/>
      <c r="L29" s="84"/>
      <c r="M29" s="84"/>
      <c r="N29" s="84"/>
      <c r="O29" s="84"/>
      <c r="P29" s="84"/>
      <c r="R29" s="84"/>
      <c r="S29" s="84"/>
      <c r="T29" s="84"/>
      <c r="U29" s="84"/>
      <c r="V29" s="84"/>
      <c r="W29" s="84"/>
      <c r="X29" s="84"/>
      <c r="Y29" s="84"/>
      <c r="Z29" s="84"/>
      <c r="AA29" s="84">
        <v>8601</v>
      </c>
      <c r="AB29" s="84">
        <v>9048</v>
      </c>
      <c r="AC29" s="84">
        <v>9923</v>
      </c>
      <c r="AE29" s="84">
        <v>5747</v>
      </c>
      <c r="AF29" s="84">
        <v>5812</v>
      </c>
      <c r="AG29" s="84">
        <v>8458</v>
      </c>
      <c r="AH29" s="84">
        <v>7511</v>
      </c>
      <c r="AI29" s="84">
        <v>7391</v>
      </c>
      <c r="AJ29" s="84">
        <v>8592</v>
      </c>
      <c r="AK29" s="84">
        <v>6875</v>
      </c>
      <c r="AL29" s="84">
        <v>7089</v>
      </c>
      <c r="AM29" s="84">
        <v>7945</v>
      </c>
      <c r="AN29" s="84">
        <v>6699</v>
      </c>
      <c r="AO29" s="84">
        <v>7064</v>
      </c>
      <c r="AP29" s="84">
        <v>8048</v>
      </c>
      <c r="AQ29" s="192"/>
      <c r="AR29" s="84">
        <v>5041</v>
      </c>
      <c r="AS29" s="84">
        <v>6036</v>
      </c>
      <c r="AT29" s="84">
        <v>7103</v>
      </c>
      <c r="AU29" s="84">
        <v>5925</v>
      </c>
      <c r="AV29" s="84">
        <v>5603</v>
      </c>
      <c r="AW29" s="84">
        <v>6537</v>
      </c>
      <c r="AX29" s="123">
        <v>4940</v>
      </c>
      <c r="AY29" s="123">
        <v>5714</v>
      </c>
      <c r="AZ29" s="123">
        <v>6517</v>
      </c>
      <c r="BA29" s="123">
        <v>5496</v>
      </c>
      <c r="BB29" s="123">
        <v>7757</v>
      </c>
      <c r="BC29" s="123">
        <v>7165</v>
      </c>
      <c r="BD29" s="5"/>
      <c r="BE29" s="84">
        <v>4314</v>
      </c>
      <c r="BF29" s="84">
        <v>4968</v>
      </c>
      <c r="BG29" s="84">
        <v>7238</v>
      </c>
      <c r="BH29" s="84">
        <v>5612</v>
      </c>
      <c r="BI29" s="84">
        <v>6016</v>
      </c>
      <c r="BJ29" s="84">
        <v>7220</v>
      </c>
      <c r="BK29" s="84">
        <f>BK28-BK32-BK31</f>
        <v>5797</v>
      </c>
      <c r="BL29" s="84">
        <f>BL28-BL32-BL31</f>
        <v>6156</v>
      </c>
      <c r="BM29" s="84">
        <f>BM28-BM32-BM31</f>
        <v>6591</v>
      </c>
      <c r="BN29" s="84">
        <v>5159</v>
      </c>
      <c r="BO29" s="84">
        <v>6512</v>
      </c>
      <c r="BP29" s="84">
        <v>7155</v>
      </c>
      <c r="BR29" s="84">
        <v>4026</v>
      </c>
      <c r="BS29" s="84">
        <v>4564</v>
      </c>
      <c r="BT29" s="84">
        <f>+BT28-BT31-BT32</f>
        <v>5873</v>
      </c>
      <c r="BU29" s="84">
        <v>4600</v>
      </c>
      <c r="BV29" s="84">
        <v>5172</v>
      </c>
      <c r="BW29" s="84">
        <v>6224</v>
      </c>
      <c r="BX29" s="84">
        <v>5180</v>
      </c>
      <c r="BY29" s="84">
        <v>4852</v>
      </c>
      <c r="BZ29" s="84">
        <v>5068</v>
      </c>
      <c r="CA29" s="84">
        <v>3748</v>
      </c>
      <c r="CB29" s="84">
        <v>4131</v>
      </c>
      <c r="CC29" s="84">
        <v>4959</v>
      </c>
    </row>
    <row r="30" spans="4:81" s="4" customFormat="1">
      <c r="D30" s="4" t="s">
        <v>258</v>
      </c>
      <c r="E30" s="84"/>
      <c r="F30" s="84"/>
      <c r="G30" s="84"/>
      <c r="H30" s="84"/>
      <c r="I30" s="84"/>
      <c r="J30" s="84"/>
      <c r="K30" s="84"/>
      <c r="L30" s="84"/>
      <c r="M30" s="84"/>
      <c r="N30" s="84"/>
      <c r="O30" s="84"/>
      <c r="P30" s="84"/>
      <c r="R30" s="84"/>
      <c r="S30" s="84"/>
      <c r="T30" s="84"/>
      <c r="U30" s="84"/>
      <c r="V30" s="84"/>
      <c r="W30" s="84"/>
      <c r="X30" s="84"/>
      <c r="Y30" s="84"/>
      <c r="Z30" s="84"/>
      <c r="AA30" s="84"/>
      <c r="AB30" s="84"/>
      <c r="AC30" s="84"/>
      <c r="AE30" s="84"/>
      <c r="AF30" s="84"/>
      <c r="AG30" s="84"/>
      <c r="AH30" s="84"/>
      <c r="AI30" s="84"/>
      <c r="AJ30" s="84"/>
      <c r="AK30" s="84"/>
      <c r="AL30" s="84"/>
      <c r="AM30" s="84"/>
      <c r="AN30" s="84"/>
      <c r="AO30" s="84"/>
      <c r="AP30" s="84"/>
      <c r="AQ30" s="192"/>
      <c r="AR30" s="84"/>
      <c r="AS30" s="84"/>
      <c r="AT30" s="84"/>
      <c r="AU30" s="84"/>
      <c r="AV30" s="84"/>
      <c r="AW30" s="84"/>
      <c r="AX30" s="150"/>
      <c r="AY30" s="150"/>
      <c r="AZ30" s="150"/>
      <c r="BA30" s="150"/>
      <c r="BB30" s="150"/>
      <c r="BC30" s="150"/>
      <c r="BD30" s="152"/>
      <c r="BE30" s="84"/>
      <c r="BF30" s="84"/>
      <c r="BG30" s="84"/>
      <c r="BH30" s="84"/>
      <c r="BI30" s="84"/>
      <c r="BJ30" s="84"/>
      <c r="BK30" s="84"/>
      <c r="BL30" s="84"/>
      <c r="BM30" s="84"/>
      <c r="BN30" s="84"/>
      <c r="BO30" s="84"/>
      <c r="BP30" s="84"/>
      <c r="BR30" s="84"/>
      <c r="BS30" s="84"/>
      <c r="BT30" s="84"/>
      <c r="BU30" s="84"/>
      <c r="BV30" s="84"/>
      <c r="BW30" s="84"/>
      <c r="BX30" s="84"/>
      <c r="BY30" s="84"/>
      <c r="BZ30" s="84"/>
      <c r="CA30" s="84"/>
      <c r="CB30" s="84"/>
      <c r="CC30" s="84"/>
    </row>
    <row r="31" spans="4:81" s="4" customFormat="1">
      <c r="D31" s="32" t="s">
        <v>259</v>
      </c>
      <c r="E31" s="84"/>
      <c r="F31" s="84"/>
      <c r="G31" s="84"/>
      <c r="H31" s="84"/>
      <c r="I31" s="84"/>
      <c r="J31" s="84"/>
      <c r="K31" s="84"/>
      <c r="L31" s="84"/>
      <c r="M31" s="84"/>
      <c r="N31" s="84"/>
      <c r="O31" s="84"/>
      <c r="P31" s="84"/>
      <c r="R31" s="84"/>
      <c r="S31" s="84"/>
      <c r="T31" s="84"/>
      <c r="U31" s="84"/>
      <c r="V31" s="84"/>
      <c r="W31" s="84"/>
      <c r="X31" s="84"/>
      <c r="Y31" s="84"/>
      <c r="Z31" s="84"/>
      <c r="AA31" s="84">
        <v>1094</v>
      </c>
      <c r="AB31" s="84">
        <v>1778</v>
      </c>
      <c r="AC31" s="84">
        <v>2309</v>
      </c>
      <c r="AE31" s="84">
        <v>1648</v>
      </c>
      <c r="AF31" s="84">
        <v>1772</v>
      </c>
      <c r="AG31" s="84">
        <v>2200</v>
      </c>
      <c r="AH31" s="84">
        <v>1823</v>
      </c>
      <c r="AI31" s="84">
        <v>1791</v>
      </c>
      <c r="AJ31" s="84">
        <v>1961</v>
      </c>
      <c r="AK31" s="84">
        <v>1411</v>
      </c>
      <c r="AL31" s="84">
        <v>1730</v>
      </c>
      <c r="AM31" s="84">
        <v>1885</v>
      </c>
      <c r="AN31" s="84">
        <v>1996</v>
      </c>
      <c r="AO31" s="84">
        <v>1887</v>
      </c>
      <c r="AP31" s="84">
        <v>2179</v>
      </c>
      <c r="AQ31" s="192"/>
      <c r="AR31" s="84">
        <v>1485</v>
      </c>
      <c r="AS31" s="84">
        <v>1101</v>
      </c>
      <c r="AT31" s="84">
        <v>1881</v>
      </c>
      <c r="AU31" s="84">
        <v>1808</v>
      </c>
      <c r="AV31" s="84">
        <v>1882</v>
      </c>
      <c r="AW31" s="84">
        <v>1842</v>
      </c>
      <c r="AX31" s="123">
        <v>1323</v>
      </c>
      <c r="AY31" s="123">
        <v>1300</v>
      </c>
      <c r="AZ31" s="123">
        <v>1388</v>
      </c>
      <c r="BA31" s="123">
        <v>1204</v>
      </c>
      <c r="BB31" s="123">
        <v>1618</v>
      </c>
      <c r="BC31" s="123">
        <v>1930</v>
      </c>
      <c r="BD31" s="5"/>
      <c r="BE31" s="84">
        <v>1847</v>
      </c>
      <c r="BF31" s="84">
        <v>1700</v>
      </c>
      <c r="BG31" s="84">
        <v>1946</v>
      </c>
      <c r="BH31" s="84">
        <v>1702</v>
      </c>
      <c r="BI31" s="84">
        <v>1700</v>
      </c>
      <c r="BJ31" s="84">
        <v>1970</v>
      </c>
      <c r="BK31" s="84">
        <v>1831</v>
      </c>
      <c r="BL31" s="84">
        <v>1640</v>
      </c>
      <c r="BM31" s="84">
        <v>1599</v>
      </c>
      <c r="BN31" s="84">
        <v>1470</v>
      </c>
      <c r="BO31" s="84">
        <v>1768</v>
      </c>
      <c r="BP31" s="84">
        <v>2166</v>
      </c>
      <c r="BR31" s="84">
        <v>1143</v>
      </c>
      <c r="BS31" s="84">
        <v>1518</v>
      </c>
      <c r="BT31" s="84">
        <v>1687</v>
      </c>
      <c r="BU31" s="84">
        <v>1751</v>
      </c>
      <c r="BV31" s="84">
        <v>1661</v>
      </c>
      <c r="BW31" s="84">
        <v>1841</v>
      </c>
      <c r="BX31" s="84">
        <v>1507</v>
      </c>
      <c r="BY31" s="84">
        <v>1754</v>
      </c>
      <c r="BZ31" s="84">
        <v>2120</v>
      </c>
      <c r="CA31" s="84">
        <v>2111</v>
      </c>
      <c r="CB31" s="84">
        <v>2087</v>
      </c>
      <c r="CC31" s="84">
        <v>2347</v>
      </c>
    </row>
    <row r="32" spans="4:81" s="4" customFormat="1">
      <c r="D32" s="32" t="s">
        <v>260</v>
      </c>
      <c r="E32" s="84"/>
      <c r="F32" s="84"/>
      <c r="G32" s="84"/>
      <c r="H32" s="84"/>
      <c r="I32" s="84"/>
      <c r="J32" s="84"/>
      <c r="K32" s="84"/>
      <c r="L32" s="84"/>
      <c r="M32" s="84"/>
      <c r="N32" s="84"/>
      <c r="O32" s="84"/>
      <c r="P32" s="84"/>
      <c r="R32" s="84"/>
      <c r="S32" s="84"/>
      <c r="T32" s="84"/>
      <c r="U32" s="84"/>
      <c r="V32" s="84"/>
      <c r="W32" s="84"/>
      <c r="X32" s="84"/>
      <c r="Y32" s="84"/>
      <c r="Z32" s="84"/>
      <c r="AA32" s="84">
        <v>0</v>
      </c>
      <c r="AB32" s="84">
        <v>0</v>
      </c>
      <c r="AC32" s="84">
        <v>23</v>
      </c>
      <c r="AE32" s="84">
        <v>18</v>
      </c>
      <c r="AF32" s="84">
        <v>1</v>
      </c>
      <c r="AG32" s="84">
        <v>11</v>
      </c>
      <c r="AH32" s="84">
        <v>103</v>
      </c>
      <c r="AI32" s="84">
        <v>52</v>
      </c>
      <c r="AJ32" s="84">
        <v>38</v>
      </c>
      <c r="AK32" s="84">
        <v>64</v>
      </c>
      <c r="AL32" s="84">
        <v>117</v>
      </c>
      <c r="AM32" s="84">
        <v>258</v>
      </c>
      <c r="AN32" s="84">
        <v>289</v>
      </c>
      <c r="AO32" s="84">
        <v>342</v>
      </c>
      <c r="AP32" s="84">
        <v>566</v>
      </c>
      <c r="AQ32" s="192"/>
      <c r="AR32" s="84">
        <v>605</v>
      </c>
      <c r="AS32" s="84">
        <v>508</v>
      </c>
      <c r="AT32" s="84">
        <v>923</v>
      </c>
      <c r="AU32" s="84">
        <v>994</v>
      </c>
      <c r="AV32" s="84">
        <v>855</v>
      </c>
      <c r="AW32" s="84">
        <v>584</v>
      </c>
      <c r="AX32" s="84">
        <v>153</v>
      </c>
      <c r="AY32" s="84">
        <v>342</v>
      </c>
      <c r="AZ32" s="84">
        <v>621</v>
      </c>
      <c r="BA32" s="84">
        <v>1061</v>
      </c>
      <c r="BB32" s="84">
        <v>2006</v>
      </c>
      <c r="BC32" s="84">
        <v>2100</v>
      </c>
      <c r="BD32" s="5"/>
      <c r="BE32" s="84">
        <v>1447</v>
      </c>
      <c r="BF32" s="84">
        <v>1714</v>
      </c>
      <c r="BG32" s="84">
        <v>2153</v>
      </c>
      <c r="BH32" s="84">
        <v>1704</v>
      </c>
      <c r="BI32" s="84">
        <v>1566</v>
      </c>
      <c r="BJ32" s="84">
        <v>1655</v>
      </c>
      <c r="BK32" s="84">
        <v>1284</v>
      </c>
      <c r="BL32" s="84">
        <v>1385</v>
      </c>
      <c r="BM32" s="84">
        <v>1581</v>
      </c>
      <c r="BN32" s="84">
        <v>2003</v>
      </c>
      <c r="BO32" s="84">
        <v>2146</v>
      </c>
      <c r="BP32" s="84">
        <v>2415</v>
      </c>
      <c r="BR32" s="84">
        <v>1334</v>
      </c>
      <c r="BS32" s="84">
        <v>1629</v>
      </c>
      <c r="BT32" s="84">
        <v>2334</v>
      </c>
      <c r="BU32" s="84">
        <v>2424</v>
      </c>
      <c r="BV32" s="84">
        <v>3862</v>
      </c>
      <c r="BW32" s="84">
        <v>3622</v>
      </c>
      <c r="BX32" s="84">
        <v>2998</v>
      </c>
      <c r="BY32" s="84">
        <v>2614</v>
      </c>
      <c r="BZ32" s="84">
        <v>2561</v>
      </c>
      <c r="CA32" s="84">
        <v>2798</v>
      </c>
      <c r="CB32" s="84">
        <v>2966</v>
      </c>
      <c r="CC32" s="84">
        <v>3025</v>
      </c>
    </row>
    <row r="33" spans="4:81" s="4" customFormat="1">
      <c r="E33" s="86"/>
      <c r="F33" s="86"/>
      <c r="G33" s="86"/>
      <c r="H33" s="86"/>
      <c r="I33" s="86"/>
      <c r="J33" s="86"/>
      <c r="K33" s="86"/>
      <c r="L33" s="86"/>
      <c r="M33" s="86"/>
      <c r="N33" s="86"/>
      <c r="O33" s="86"/>
      <c r="P33" s="86"/>
      <c r="R33" s="86"/>
      <c r="S33" s="86"/>
      <c r="T33" s="86"/>
      <c r="U33" s="86"/>
      <c r="V33" s="86"/>
      <c r="W33" s="86"/>
      <c r="X33" s="86"/>
      <c r="Y33" s="86"/>
      <c r="Z33" s="86"/>
      <c r="AA33" s="86"/>
      <c r="AB33" s="86"/>
      <c r="AC33" s="86"/>
      <c r="AE33" s="86"/>
      <c r="AF33" s="86"/>
      <c r="AG33" s="86"/>
      <c r="AH33" s="86"/>
      <c r="AI33" s="86"/>
      <c r="AJ33" s="86"/>
      <c r="AK33" s="86"/>
      <c r="AL33" s="86"/>
      <c r="AM33" s="86"/>
      <c r="AN33" s="86"/>
      <c r="AO33" s="86"/>
      <c r="AP33" s="86"/>
      <c r="AR33" s="86"/>
      <c r="AS33" s="86"/>
      <c r="AT33" s="86"/>
      <c r="AU33" s="86"/>
      <c r="AV33" s="86"/>
      <c r="AW33" s="86"/>
      <c r="AX33" s="86"/>
      <c r="AY33" s="86"/>
      <c r="AZ33" s="86"/>
      <c r="BA33" s="86"/>
      <c r="BB33" s="86"/>
      <c r="BC33" s="86"/>
      <c r="BD33" s="152"/>
      <c r="BE33" s="86"/>
      <c r="BF33" s="86"/>
      <c r="BG33" s="86"/>
      <c r="BH33" s="86"/>
      <c r="BI33" s="86"/>
      <c r="BJ33" s="86"/>
      <c r="BK33" s="86"/>
      <c r="BL33" s="86"/>
      <c r="BM33" s="86"/>
      <c r="BN33" s="86"/>
      <c r="BO33" s="86"/>
      <c r="BP33" s="86"/>
      <c r="BR33" s="86"/>
      <c r="BS33" s="86"/>
      <c r="BT33" s="86"/>
      <c r="BU33" s="86"/>
      <c r="BV33" s="86"/>
      <c r="BW33" s="86"/>
      <c r="BX33" s="86"/>
      <c r="BY33" s="86"/>
      <c r="BZ33" s="86"/>
      <c r="CA33" s="86"/>
      <c r="CB33" s="86"/>
      <c r="CC33" s="86"/>
    </row>
    <row r="34" spans="4:81" s="4" customFormat="1">
      <c r="D34" s="21" t="s">
        <v>131</v>
      </c>
      <c r="E34" s="83">
        <v>50679</v>
      </c>
      <c r="F34" s="83">
        <v>43184</v>
      </c>
      <c r="G34" s="83">
        <v>67457</v>
      </c>
      <c r="H34" s="83">
        <v>56535</v>
      </c>
      <c r="I34" s="83">
        <v>60196</v>
      </c>
      <c r="J34" s="83">
        <v>62775</v>
      </c>
      <c r="K34" s="83">
        <v>54546</v>
      </c>
      <c r="L34" s="83">
        <v>47796</v>
      </c>
      <c r="M34" s="83">
        <v>64536</v>
      </c>
      <c r="N34" s="83">
        <v>60959</v>
      </c>
      <c r="O34" s="83">
        <v>62550</v>
      </c>
      <c r="P34" s="83">
        <v>74239</v>
      </c>
      <c r="R34" s="83">
        <v>45752</v>
      </c>
      <c r="S34" s="83">
        <v>39742</v>
      </c>
      <c r="T34" s="83">
        <v>46395</v>
      </c>
      <c r="U34" s="83">
        <v>31760</v>
      </c>
      <c r="V34" s="83">
        <v>44830</v>
      </c>
      <c r="W34" s="83">
        <v>61483</v>
      </c>
      <c r="X34" s="83">
        <v>62291</v>
      </c>
      <c r="Y34" s="83">
        <v>51239</v>
      </c>
      <c r="Z34" s="83">
        <v>67636</v>
      </c>
      <c r="AA34" s="83">
        <v>65290</v>
      </c>
      <c r="AB34" s="83">
        <v>66579</v>
      </c>
      <c r="AC34" s="83">
        <v>78716</v>
      </c>
      <c r="AE34" s="83">
        <v>59588</v>
      </c>
      <c r="AF34" s="83">
        <v>50795</v>
      </c>
      <c r="AG34" s="83">
        <v>75315</v>
      </c>
      <c r="AH34" s="83">
        <v>62724</v>
      </c>
      <c r="AI34" s="83">
        <v>64111</v>
      </c>
      <c r="AJ34" s="83">
        <v>68224</v>
      </c>
      <c r="AK34" s="83">
        <v>56883</v>
      </c>
      <c r="AL34" s="83">
        <v>45786</v>
      </c>
      <c r="AM34" s="83">
        <v>47223</v>
      </c>
      <c r="AN34" s="83">
        <v>50815</v>
      </c>
      <c r="AO34" s="83">
        <v>52793</v>
      </c>
      <c r="AP34" s="83">
        <v>64436</v>
      </c>
      <c r="AR34" s="83">
        <v>47561</v>
      </c>
      <c r="AS34" s="83">
        <v>42067</v>
      </c>
      <c r="AT34" s="83">
        <v>58667</v>
      </c>
      <c r="AU34" s="83">
        <v>47150</v>
      </c>
      <c r="AV34" s="83">
        <v>45952</v>
      </c>
      <c r="AW34" s="83">
        <v>49904</v>
      </c>
      <c r="AX34" s="83">
        <v>44664</v>
      </c>
      <c r="AY34" s="83">
        <v>43666</v>
      </c>
      <c r="AZ34" s="83">
        <v>49356</v>
      </c>
      <c r="BA34" s="83">
        <v>54317</v>
      </c>
      <c r="BB34" s="83">
        <v>59154</v>
      </c>
      <c r="BC34" s="83">
        <v>72663</v>
      </c>
      <c r="BD34" s="5"/>
      <c r="BE34" s="83">
        <v>48520</v>
      </c>
      <c r="BF34" s="83">
        <v>51286</v>
      </c>
      <c r="BG34" s="83">
        <v>63132</v>
      </c>
      <c r="BH34" s="83">
        <v>51976</v>
      </c>
      <c r="BI34" s="83">
        <v>60398</v>
      </c>
      <c r="BJ34" s="83">
        <v>66379</v>
      </c>
      <c r="BK34" s="83">
        <v>54165</v>
      </c>
      <c r="BL34" s="83">
        <v>51636</v>
      </c>
      <c r="BM34" s="83">
        <v>61666</v>
      </c>
      <c r="BN34" s="83">
        <v>59861</v>
      </c>
      <c r="BO34" s="83">
        <v>63682</v>
      </c>
      <c r="BP34" s="83">
        <v>76015</v>
      </c>
      <c r="BR34" s="83">
        <v>53402</v>
      </c>
      <c r="BS34" s="83">
        <v>50315</v>
      </c>
      <c r="BT34" s="83">
        <v>78970</v>
      </c>
      <c r="BU34" s="83">
        <f t="shared" ref="BU34:BW35" si="0">BU28+BU22+BU16+BU10</f>
        <v>65838</v>
      </c>
      <c r="BV34" s="83">
        <f t="shared" si="0"/>
        <v>68034</v>
      </c>
      <c r="BW34" s="83">
        <f t="shared" si="0"/>
        <v>71514</v>
      </c>
      <c r="BX34" s="83">
        <v>57447</v>
      </c>
      <c r="BY34" s="83">
        <v>52944</v>
      </c>
      <c r="BZ34" s="83">
        <v>62458</v>
      </c>
      <c r="CA34" s="83">
        <v>61686</v>
      </c>
      <c r="CB34" s="83">
        <v>66977</v>
      </c>
      <c r="CC34" s="83">
        <v>73804</v>
      </c>
    </row>
    <row r="35" spans="4:81" s="4" customFormat="1">
      <c r="D35" s="4" t="s">
        <v>38</v>
      </c>
      <c r="N35" s="84"/>
      <c r="O35" s="85"/>
      <c r="AA35" s="84">
        <v>52550</v>
      </c>
      <c r="AB35" s="84">
        <v>51871</v>
      </c>
      <c r="AC35" s="84">
        <v>59161</v>
      </c>
      <c r="AE35" s="84">
        <v>46074</v>
      </c>
      <c r="AF35" s="84">
        <v>37259</v>
      </c>
      <c r="AG35" s="84">
        <v>55811</v>
      </c>
      <c r="AH35" s="84">
        <v>47473</v>
      </c>
      <c r="AI35" s="84">
        <v>48919</v>
      </c>
      <c r="AJ35" s="84">
        <v>51426</v>
      </c>
      <c r="AK35" s="84">
        <v>42358</v>
      </c>
      <c r="AL35" s="84">
        <v>34724</v>
      </c>
      <c r="AM35" s="84">
        <v>34523</v>
      </c>
      <c r="AN35" s="84">
        <v>34829</v>
      </c>
      <c r="AO35" s="84">
        <v>35490</v>
      </c>
      <c r="AP35" s="84">
        <v>40591</v>
      </c>
      <c r="AQ35" s="192"/>
      <c r="AR35" s="84">
        <v>32490</v>
      </c>
      <c r="AS35" s="84">
        <v>28202</v>
      </c>
      <c r="AT35" s="84">
        <v>37829</v>
      </c>
      <c r="AU35" s="84">
        <v>29053</v>
      </c>
      <c r="AV35" s="84">
        <v>30507</v>
      </c>
      <c r="AW35" s="84">
        <v>39259</v>
      </c>
      <c r="AX35" s="123">
        <v>35068</v>
      </c>
      <c r="AY35" s="123">
        <v>34084</v>
      </c>
      <c r="AZ35" s="123">
        <v>33920</v>
      </c>
      <c r="BA35" s="123">
        <v>34320</v>
      </c>
      <c r="BB35" s="123">
        <v>34200</v>
      </c>
      <c r="BC35" s="123">
        <v>40837</v>
      </c>
      <c r="BD35" s="5"/>
      <c r="BE35" s="84">
        <v>28778</v>
      </c>
      <c r="BF35" s="84">
        <v>30608</v>
      </c>
      <c r="BG35" s="84">
        <v>36149</v>
      </c>
      <c r="BH35" s="84">
        <v>31348</v>
      </c>
      <c r="BI35" s="84">
        <v>36431</v>
      </c>
      <c r="BJ35" s="84">
        <v>41959</v>
      </c>
      <c r="BK35" s="84">
        <f t="shared" ref="BK35:BP35" si="1">SUM(BK29,BK23,BK17,BK11)</f>
        <v>35463</v>
      </c>
      <c r="BL35" s="84">
        <f t="shared" si="1"/>
        <v>34631</v>
      </c>
      <c r="BM35" s="84">
        <f t="shared" si="1"/>
        <v>40563</v>
      </c>
      <c r="BN35" s="84">
        <f t="shared" si="1"/>
        <v>38518</v>
      </c>
      <c r="BO35" s="84">
        <f t="shared" si="1"/>
        <v>40734</v>
      </c>
      <c r="BP35" s="84">
        <f t="shared" si="1"/>
        <v>47554</v>
      </c>
      <c r="BR35" s="84">
        <v>34231</v>
      </c>
      <c r="BS35" s="84">
        <v>28049</v>
      </c>
      <c r="BT35" s="84">
        <v>45412</v>
      </c>
      <c r="BU35" s="84">
        <f t="shared" si="0"/>
        <v>34315</v>
      </c>
      <c r="BV35" s="84">
        <f t="shared" si="0"/>
        <v>35266</v>
      </c>
      <c r="BW35" s="84">
        <f t="shared" si="0"/>
        <v>37132</v>
      </c>
      <c r="BX35" s="84">
        <f>BX29+BX23+BX17+BX11</f>
        <v>29568</v>
      </c>
      <c r="BY35" s="84">
        <f>BY29+BY23+BY17+BY11</f>
        <v>27916</v>
      </c>
      <c r="BZ35" s="84">
        <f>BZ29+BZ23+BZ17+BZ11</f>
        <v>32284</v>
      </c>
      <c r="CA35" s="84">
        <v>31791</v>
      </c>
      <c r="CB35" s="84">
        <v>34869</v>
      </c>
      <c r="CC35" s="84">
        <v>39769</v>
      </c>
    </row>
    <row r="36" spans="4:81" s="4" customFormat="1">
      <c r="D36" s="4" t="s">
        <v>258</v>
      </c>
      <c r="N36" s="84"/>
      <c r="O36" s="85"/>
      <c r="AA36" s="84"/>
      <c r="AB36" s="84"/>
      <c r="AC36" s="84"/>
      <c r="AE36" s="84"/>
      <c r="AF36" s="84"/>
      <c r="AG36" s="84"/>
      <c r="AH36" s="84"/>
      <c r="AI36" s="84"/>
      <c r="AJ36" s="84"/>
      <c r="AK36" s="84"/>
      <c r="AL36" s="84"/>
      <c r="AM36" s="84"/>
      <c r="AN36" s="84"/>
      <c r="AO36" s="84"/>
      <c r="AP36" s="84"/>
      <c r="AQ36" s="192"/>
      <c r="AR36" s="84"/>
      <c r="AS36" s="84"/>
      <c r="AT36" s="84"/>
      <c r="AU36" s="84"/>
      <c r="AV36" s="84"/>
      <c r="AW36" s="84"/>
      <c r="AX36" s="150"/>
      <c r="AY36" s="150"/>
      <c r="AZ36" s="150"/>
      <c r="BA36" s="150"/>
      <c r="BB36" s="150"/>
      <c r="BC36" s="150"/>
      <c r="BD36" s="152"/>
      <c r="BE36" s="84"/>
      <c r="BF36" s="84"/>
      <c r="BG36" s="84"/>
      <c r="BH36" s="84"/>
      <c r="BI36" s="84"/>
      <c r="BJ36" s="84"/>
      <c r="BK36" s="84"/>
      <c r="BL36" s="84"/>
      <c r="BM36" s="84"/>
      <c r="BN36" s="84"/>
      <c r="BO36" s="84"/>
      <c r="BP36" s="84"/>
      <c r="BR36" s="84"/>
      <c r="BS36" s="84"/>
      <c r="BT36" s="84"/>
      <c r="BU36" s="84"/>
      <c r="BV36" s="84"/>
      <c r="BW36" s="84"/>
      <c r="BX36" s="84"/>
      <c r="BY36" s="84"/>
      <c r="BZ36" s="84"/>
      <c r="CA36" s="84"/>
      <c r="CB36" s="84"/>
      <c r="CC36" s="84"/>
    </row>
    <row r="37" spans="4:81" s="4" customFormat="1">
      <c r="D37" s="32" t="s">
        <v>259</v>
      </c>
      <c r="E37" s="87"/>
      <c r="F37" s="87"/>
      <c r="G37" s="87"/>
      <c r="H37" s="87"/>
      <c r="I37" s="87"/>
      <c r="J37" s="87"/>
      <c r="K37" s="87"/>
      <c r="L37" s="87"/>
      <c r="M37" s="87"/>
      <c r="N37" s="84"/>
      <c r="O37" s="85"/>
      <c r="P37" s="87"/>
      <c r="R37" s="87"/>
      <c r="S37" s="87"/>
      <c r="T37" s="87"/>
      <c r="U37" s="87"/>
      <c r="V37" s="87"/>
      <c r="W37" s="87"/>
      <c r="X37" s="87"/>
      <c r="Y37" s="87"/>
      <c r="Z37" s="87"/>
      <c r="AA37" s="84">
        <v>12736</v>
      </c>
      <c r="AB37" s="84">
        <v>13401</v>
      </c>
      <c r="AC37" s="84">
        <v>16207</v>
      </c>
      <c r="AE37" s="84">
        <v>12175</v>
      </c>
      <c r="AF37" s="84">
        <v>12523</v>
      </c>
      <c r="AG37" s="84">
        <v>18241</v>
      </c>
      <c r="AH37" s="84">
        <v>13565</v>
      </c>
      <c r="AI37" s="84">
        <v>12793</v>
      </c>
      <c r="AJ37" s="84">
        <v>14488</v>
      </c>
      <c r="AK37" s="84">
        <v>12390</v>
      </c>
      <c r="AL37" s="84">
        <v>9418</v>
      </c>
      <c r="AM37" s="84">
        <v>11065</v>
      </c>
      <c r="AN37" s="84">
        <v>13145</v>
      </c>
      <c r="AO37" s="84">
        <v>14610</v>
      </c>
      <c r="AP37" s="84">
        <v>19076</v>
      </c>
      <c r="AQ37" s="192"/>
      <c r="AR37" s="84">
        <v>11944</v>
      </c>
      <c r="AS37" s="84">
        <v>10527</v>
      </c>
      <c r="AT37" s="84">
        <v>15582</v>
      </c>
      <c r="AU37" s="84">
        <v>13388</v>
      </c>
      <c r="AV37" s="84">
        <v>11793</v>
      </c>
      <c r="AW37" s="84">
        <v>8507</v>
      </c>
      <c r="AX37" s="123">
        <v>8013</v>
      </c>
      <c r="AY37" s="123">
        <v>7088</v>
      </c>
      <c r="AZ37" s="123">
        <v>9364</v>
      </c>
      <c r="BA37" s="123">
        <v>11849</v>
      </c>
      <c r="BB37" s="123">
        <v>13310</v>
      </c>
      <c r="BC37" s="123">
        <v>17238</v>
      </c>
      <c r="BD37" s="5"/>
      <c r="BE37" s="84">
        <v>11868</v>
      </c>
      <c r="BF37" s="84">
        <v>11104</v>
      </c>
      <c r="BG37" s="84">
        <v>14362</v>
      </c>
      <c r="BH37" s="84">
        <v>11798</v>
      </c>
      <c r="BI37" s="84">
        <v>13141</v>
      </c>
      <c r="BJ37" s="84">
        <v>14885</v>
      </c>
      <c r="BK37" s="84">
        <f t="shared" ref="BK37:BM38" si="2">SUM(BK31,BK25,BK19,BK13)</f>
        <v>13198</v>
      </c>
      <c r="BL37" s="84">
        <f t="shared" si="2"/>
        <v>10345</v>
      </c>
      <c r="BM37" s="84">
        <f t="shared" si="2"/>
        <v>11898</v>
      </c>
      <c r="BN37" s="84">
        <f>SUM(BN31,BN19,BN13)</f>
        <v>9053</v>
      </c>
      <c r="BO37" s="84">
        <f>SUM(BO31,BO25,BO19,BO13)</f>
        <v>12917</v>
      </c>
      <c r="BP37" s="84">
        <f>SUM(BP31,BP25,BP13)</f>
        <v>14725</v>
      </c>
      <c r="BR37" s="84">
        <v>9945</v>
      </c>
      <c r="BS37" s="84">
        <v>11342</v>
      </c>
      <c r="BT37" s="84">
        <v>15537</v>
      </c>
      <c r="BU37" s="84">
        <f t="shared" ref="BU37:BZ38" si="3">BU31+BU25+BU19+BU13</f>
        <v>14433</v>
      </c>
      <c r="BV37" s="84">
        <f t="shared" si="3"/>
        <v>15704</v>
      </c>
      <c r="BW37" s="84">
        <f t="shared" si="3"/>
        <v>15947</v>
      </c>
      <c r="BX37" s="84">
        <f t="shared" si="3"/>
        <v>13749</v>
      </c>
      <c r="BY37" s="84">
        <f t="shared" si="3"/>
        <v>11610</v>
      </c>
      <c r="BZ37" s="84">
        <f t="shared" si="3"/>
        <v>14931</v>
      </c>
      <c r="CA37" s="84">
        <v>16455</v>
      </c>
      <c r="CB37" s="84">
        <v>18035</v>
      </c>
      <c r="CC37" s="84">
        <v>19905</v>
      </c>
    </row>
    <row r="38" spans="4:81" s="4" customFormat="1">
      <c r="D38" s="32" t="s">
        <v>260</v>
      </c>
      <c r="E38" s="87"/>
      <c r="F38" s="87"/>
      <c r="G38" s="87"/>
      <c r="H38" s="87"/>
      <c r="I38" s="87"/>
      <c r="J38" s="87"/>
      <c r="K38" s="87"/>
      <c r="L38" s="87"/>
      <c r="M38" s="87"/>
      <c r="N38" s="84"/>
      <c r="O38" s="85"/>
      <c r="P38" s="87"/>
      <c r="R38" s="87"/>
      <c r="S38" s="87"/>
      <c r="T38" s="87"/>
      <c r="U38" s="87"/>
      <c r="V38" s="87"/>
      <c r="W38" s="87"/>
      <c r="X38" s="87"/>
      <c r="Y38" s="87"/>
      <c r="Z38" s="87"/>
      <c r="AA38" s="84">
        <v>4</v>
      </c>
      <c r="AB38" s="84">
        <v>1307</v>
      </c>
      <c r="AC38" s="84">
        <v>3348</v>
      </c>
      <c r="AE38" s="84">
        <v>1339</v>
      </c>
      <c r="AF38" s="84">
        <v>1013</v>
      </c>
      <c r="AG38" s="84">
        <v>1263</v>
      </c>
      <c r="AH38" s="84">
        <v>1686</v>
      </c>
      <c r="AI38" s="84">
        <v>2399</v>
      </c>
      <c r="AJ38" s="84">
        <v>2310</v>
      </c>
      <c r="AK38" s="84">
        <v>2135</v>
      </c>
      <c r="AL38" s="84">
        <v>1644</v>
      </c>
      <c r="AM38" s="84">
        <v>1635</v>
      </c>
      <c r="AN38" s="84">
        <v>2841</v>
      </c>
      <c r="AO38" s="84">
        <v>2693</v>
      </c>
      <c r="AP38" s="84">
        <v>4769</v>
      </c>
      <c r="AQ38" s="192"/>
      <c r="AR38" s="84">
        <v>3127</v>
      </c>
      <c r="AS38" s="84">
        <v>3338</v>
      </c>
      <c r="AT38" s="84">
        <v>5256</v>
      </c>
      <c r="AU38" s="84">
        <v>4709</v>
      </c>
      <c r="AV38" s="84">
        <v>3652</v>
      </c>
      <c r="AW38" s="84">
        <v>2138</v>
      </c>
      <c r="AX38" s="84">
        <v>1583</v>
      </c>
      <c r="AY38" s="84">
        <v>2494</v>
      </c>
      <c r="AZ38" s="84">
        <v>6072</v>
      </c>
      <c r="BA38" s="84">
        <v>8148</v>
      </c>
      <c r="BB38" s="84">
        <v>11644</v>
      </c>
      <c r="BC38" s="84">
        <v>14588</v>
      </c>
      <c r="BD38" s="5"/>
      <c r="BE38" s="84">
        <v>7874</v>
      </c>
      <c r="BF38" s="84">
        <v>9574</v>
      </c>
      <c r="BG38" s="84">
        <v>12621</v>
      </c>
      <c r="BH38" s="84">
        <v>8830</v>
      </c>
      <c r="BI38" s="84">
        <v>10826</v>
      </c>
      <c r="BJ38" s="84">
        <v>9535</v>
      </c>
      <c r="BK38" s="84">
        <f t="shared" si="2"/>
        <v>5504</v>
      </c>
      <c r="BL38" s="84">
        <f t="shared" si="2"/>
        <v>6660</v>
      </c>
      <c r="BM38" s="84">
        <f t="shared" si="2"/>
        <v>9205</v>
      </c>
      <c r="BN38" s="84">
        <f>SUM(BN32,BN20,BN26,BN14)</f>
        <v>10489</v>
      </c>
      <c r="BO38" s="84">
        <f>SUM(BO32,BO26,BO20,BO14)</f>
        <v>10031</v>
      </c>
      <c r="BP38" s="84">
        <f>SUM(BP32,BP20,BP26,BP14)</f>
        <v>12270</v>
      </c>
      <c r="BR38" s="84">
        <v>9226</v>
      </c>
      <c r="BS38" s="84">
        <v>10924</v>
      </c>
      <c r="BT38" s="84">
        <v>18021</v>
      </c>
      <c r="BU38" s="84">
        <f t="shared" si="3"/>
        <v>17090</v>
      </c>
      <c r="BV38" s="84">
        <f t="shared" si="3"/>
        <v>17064</v>
      </c>
      <c r="BW38" s="84">
        <f t="shared" si="3"/>
        <v>18435</v>
      </c>
      <c r="BX38" s="84">
        <f t="shared" si="3"/>
        <v>14130</v>
      </c>
      <c r="BY38" s="84">
        <f t="shared" si="3"/>
        <v>13418</v>
      </c>
      <c r="BZ38" s="84">
        <f t="shared" si="3"/>
        <v>15243</v>
      </c>
      <c r="CA38" s="84">
        <v>13440</v>
      </c>
      <c r="CB38" s="84">
        <v>14073</v>
      </c>
      <c r="CC38" s="84">
        <v>14130</v>
      </c>
    </row>
    <row r="40" spans="4:81">
      <c r="AM40" s="195"/>
    </row>
    <row r="46" spans="4:81" ht="15.5">
      <c r="BK46" s="278"/>
      <c r="BL46" s="278"/>
      <c r="BM46" s="279"/>
      <c r="BN46" s="278"/>
      <c r="BO46" s="278"/>
      <c r="BP46" s="279"/>
      <c r="BQ46" s="277"/>
    </row>
    <row r="47" spans="4:81" ht="15.5">
      <c r="BK47" s="280"/>
      <c r="BL47" s="280"/>
      <c r="BM47" s="280"/>
      <c r="BN47" s="281"/>
      <c r="BO47" s="280"/>
      <c r="BP47" s="280"/>
      <c r="BQ47" s="281"/>
    </row>
    <row r="48" spans="4:81" ht="15.5">
      <c r="BK48" s="280"/>
      <c r="BL48" s="280"/>
      <c r="BM48" s="280"/>
      <c r="BN48" s="281"/>
      <c r="BO48" s="280"/>
      <c r="BP48" s="280"/>
      <c r="BQ48" s="281"/>
    </row>
    <row r="49" spans="63:69" ht="15.5">
      <c r="BK49" s="280"/>
      <c r="BL49" s="280"/>
      <c r="BM49" s="280"/>
      <c r="BN49" s="281"/>
      <c r="BO49" s="280"/>
      <c r="BP49" s="280"/>
      <c r="BQ49" s="281"/>
    </row>
  </sheetData>
  <mergeCells count="6">
    <mergeCell ref="BR8:CC8"/>
    <mergeCell ref="E8:P8"/>
    <mergeCell ref="R8:AC8"/>
    <mergeCell ref="AE8:AP8"/>
    <mergeCell ref="AR8:BC8"/>
    <mergeCell ref="BE8:BP8"/>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E453-598E-489B-AF16-C63DF80F499E}">
  <dimension ref="A1:AN41"/>
  <sheetViews>
    <sheetView showGridLines="0" zoomScaleNormal="100" workbookViewId="0">
      <pane xSplit="4" ySplit="9" topLeftCell="AD10" activePane="bottomRight" state="frozen"/>
      <selection pane="topRight" activeCell="I22" sqref="I22"/>
      <selection pane="bottomLeft" activeCell="I22" sqref="I22"/>
      <selection pane="bottomRight" activeCell="D1" sqref="D1"/>
    </sheetView>
  </sheetViews>
  <sheetFormatPr defaultColWidth="9.1796875" defaultRowHeight="14.5"/>
  <cols>
    <col min="1" max="3" width="9.1796875" style="13"/>
    <col min="4" max="4" width="56.1796875" style="13" customWidth="1"/>
    <col min="5" max="22" width="9.1796875" style="13"/>
    <col min="25" max="33" width="9.1796875" style="13"/>
    <col min="34" max="37" width="9.1796875" style="256"/>
    <col min="38" max="38" width="10.54296875" style="256" customWidth="1"/>
    <col min="39" max="39" width="9.7265625" style="256" customWidth="1"/>
    <col min="40" max="40" width="9.453125" style="256" customWidth="1"/>
    <col min="41" max="16384" width="9.1796875" style="13"/>
  </cols>
  <sheetData>
    <row r="1" spans="1:40">
      <c r="A1" s="173" t="s">
        <v>13</v>
      </c>
      <c r="B1" s="173" t="s">
        <v>13</v>
      </c>
      <c r="C1" s="173" t="s">
        <v>13</v>
      </c>
      <c r="D1" s="174" t="s">
        <v>261</v>
      </c>
      <c r="E1" s="173" t="s">
        <v>13</v>
      </c>
      <c r="F1" s="173" t="s">
        <v>13</v>
      </c>
      <c r="G1" s="173" t="s">
        <v>13</v>
      </c>
      <c r="H1" s="173" t="s">
        <v>13</v>
      </c>
      <c r="I1" s="173" t="s">
        <v>13</v>
      </c>
      <c r="J1" s="173" t="s">
        <v>13</v>
      </c>
      <c r="K1" s="173" t="s">
        <v>13</v>
      </c>
      <c r="L1" s="173" t="s">
        <v>13</v>
      </c>
      <c r="M1" s="173" t="s">
        <v>13</v>
      </c>
      <c r="N1" s="173" t="s">
        <v>13</v>
      </c>
      <c r="O1" s="173" t="s">
        <v>13</v>
      </c>
      <c r="P1" s="173" t="s">
        <v>13</v>
      </c>
      <c r="Q1" s="173" t="s">
        <v>13</v>
      </c>
      <c r="R1" s="173" t="s">
        <v>13</v>
      </c>
      <c r="S1" s="173" t="s">
        <v>13</v>
      </c>
      <c r="T1" s="173" t="s">
        <v>13</v>
      </c>
      <c r="U1" s="173" t="s">
        <v>13</v>
      </c>
      <c r="V1" s="173" t="s">
        <v>13</v>
      </c>
      <c r="W1" s="35" t="s">
        <v>13</v>
      </c>
      <c r="X1" s="35" t="s">
        <v>13</v>
      </c>
      <c r="Y1" s="173" t="s">
        <v>13</v>
      </c>
      <c r="Z1" s="173" t="s">
        <v>13</v>
      </c>
      <c r="AA1" s="173" t="s">
        <v>13</v>
      </c>
      <c r="AB1" s="173" t="s">
        <v>13</v>
      </c>
      <c r="AC1" s="173"/>
      <c r="AD1" s="173"/>
      <c r="AG1" s="173"/>
      <c r="AH1" s="255"/>
      <c r="AI1" s="255"/>
      <c r="AJ1" s="255"/>
      <c r="AK1" s="255"/>
      <c r="AL1" s="255"/>
      <c r="AM1" s="255"/>
      <c r="AN1" s="255"/>
    </row>
    <row r="2" spans="1:40">
      <c r="A2" s="173" t="s">
        <v>13</v>
      </c>
      <c r="B2" s="173" t="s">
        <v>13</v>
      </c>
      <c r="C2" s="173" t="s">
        <v>13</v>
      </c>
      <c r="E2" s="173" t="s">
        <v>13</v>
      </c>
      <c r="F2" s="173" t="s">
        <v>13</v>
      </c>
      <c r="G2" s="173" t="s">
        <v>13</v>
      </c>
      <c r="H2" s="173" t="s">
        <v>13</v>
      </c>
      <c r="I2" s="173" t="s">
        <v>13</v>
      </c>
      <c r="J2" s="173" t="s">
        <v>13</v>
      </c>
      <c r="K2" s="173" t="s">
        <v>13</v>
      </c>
      <c r="L2" s="173" t="s">
        <v>13</v>
      </c>
      <c r="M2" s="173" t="s">
        <v>13</v>
      </c>
      <c r="N2" s="173" t="s">
        <v>13</v>
      </c>
      <c r="O2" s="173" t="s">
        <v>13</v>
      </c>
      <c r="P2" s="173" t="s">
        <v>13</v>
      </c>
      <c r="Q2" s="173" t="s">
        <v>13</v>
      </c>
      <c r="R2" s="173" t="s">
        <v>13</v>
      </c>
      <c r="S2" s="173" t="s">
        <v>13</v>
      </c>
      <c r="T2" s="173" t="s">
        <v>13</v>
      </c>
      <c r="U2" s="173" t="s">
        <v>13</v>
      </c>
      <c r="V2" s="173" t="s">
        <v>13</v>
      </c>
      <c r="W2" s="35" t="s">
        <v>13</v>
      </c>
      <c r="X2" s="35" t="s">
        <v>13</v>
      </c>
      <c r="Y2" s="173" t="s">
        <v>13</v>
      </c>
      <c r="Z2" s="173" t="s">
        <v>13</v>
      </c>
      <c r="AA2" s="173" t="s">
        <v>13</v>
      </c>
      <c r="AB2" s="173" t="s">
        <v>13</v>
      </c>
      <c r="AC2" s="173"/>
      <c r="AD2" s="173"/>
      <c r="AG2" s="173"/>
      <c r="AH2" s="255"/>
      <c r="AI2" s="255"/>
      <c r="AJ2" s="255"/>
      <c r="AK2" s="255"/>
      <c r="AL2" s="255"/>
      <c r="AM2" s="255"/>
      <c r="AN2" s="255"/>
    </row>
    <row r="3" spans="1:40">
      <c r="A3" s="173" t="s">
        <v>13</v>
      </c>
      <c r="B3" s="173" t="s">
        <v>13</v>
      </c>
      <c r="C3" s="173" t="s">
        <v>13</v>
      </c>
      <c r="D3" s="173" t="s">
        <v>13</v>
      </c>
      <c r="E3" s="173" t="s">
        <v>13</v>
      </c>
      <c r="F3" s="173" t="s">
        <v>13</v>
      </c>
      <c r="G3" s="173" t="s">
        <v>13</v>
      </c>
      <c r="H3" s="173" t="s">
        <v>13</v>
      </c>
      <c r="I3" s="173" t="s">
        <v>13</v>
      </c>
      <c r="J3" s="173" t="s">
        <v>13</v>
      </c>
      <c r="K3" s="173" t="s">
        <v>13</v>
      </c>
      <c r="L3" s="173" t="s">
        <v>13</v>
      </c>
      <c r="M3" s="173" t="s">
        <v>13</v>
      </c>
      <c r="N3" s="173" t="s">
        <v>13</v>
      </c>
      <c r="O3" s="173" t="s">
        <v>13</v>
      </c>
      <c r="P3" s="173" t="s">
        <v>13</v>
      </c>
      <c r="Q3" s="173" t="s">
        <v>13</v>
      </c>
      <c r="R3" s="173" t="s">
        <v>13</v>
      </c>
      <c r="S3" s="173" t="s">
        <v>13</v>
      </c>
      <c r="T3" s="173" t="s">
        <v>13</v>
      </c>
      <c r="U3" s="173" t="s">
        <v>13</v>
      </c>
      <c r="V3" s="173" t="s">
        <v>13</v>
      </c>
      <c r="W3" s="35" t="s">
        <v>13</v>
      </c>
      <c r="X3" s="35" t="s">
        <v>13</v>
      </c>
      <c r="Y3" s="173" t="s">
        <v>13</v>
      </c>
      <c r="Z3" s="173" t="s">
        <v>13</v>
      </c>
      <c r="AA3" s="173" t="s">
        <v>13</v>
      </c>
      <c r="AB3" s="173" t="s">
        <v>13</v>
      </c>
      <c r="AC3" s="173"/>
      <c r="AD3" s="173"/>
      <c r="AG3" s="173"/>
      <c r="AH3" s="255"/>
      <c r="AI3" s="255"/>
      <c r="AJ3" s="255"/>
      <c r="AK3" s="255"/>
      <c r="AL3" s="255"/>
      <c r="AM3" s="255"/>
      <c r="AN3" s="255"/>
    </row>
    <row r="4" spans="1:40">
      <c r="A4" s="173" t="s">
        <v>13</v>
      </c>
      <c r="B4" s="173" t="s">
        <v>13</v>
      </c>
      <c r="C4" s="173" t="s">
        <v>13</v>
      </c>
      <c r="D4" s="175"/>
      <c r="E4" s="173" t="s">
        <v>13</v>
      </c>
      <c r="F4" s="173" t="s">
        <v>13</v>
      </c>
      <c r="G4" s="173" t="s">
        <v>13</v>
      </c>
      <c r="H4" s="173" t="s">
        <v>13</v>
      </c>
      <c r="I4" s="173" t="s">
        <v>13</v>
      </c>
      <c r="J4" s="173" t="s">
        <v>13</v>
      </c>
      <c r="K4" s="173" t="s">
        <v>13</v>
      </c>
      <c r="L4" s="173" t="s">
        <v>13</v>
      </c>
      <c r="M4" s="173" t="s">
        <v>13</v>
      </c>
      <c r="N4" s="173" t="s">
        <v>13</v>
      </c>
      <c r="O4" s="173" t="s">
        <v>13</v>
      </c>
      <c r="P4" s="173" t="s">
        <v>13</v>
      </c>
      <c r="Q4" s="173" t="s">
        <v>13</v>
      </c>
      <c r="R4" s="173" t="s">
        <v>13</v>
      </c>
      <c r="S4" s="173" t="s">
        <v>13</v>
      </c>
      <c r="T4" s="173" t="s">
        <v>13</v>
      </c>
      <c r="U4" s="173" t="s">
        <v>13</v>
      </c>
      <c r="V4" s="173" t="s">
        <v>13</v>
      </c>
      <c r="W4" s="35" t="s">
        <v>13</v>
      </c>
      <c r="X4" s="35" t="s">
        <v>13</v>
      </c>
      <c r="Y4" s="173" t="s">
        <v>13</v>
      </c>
      <c r="Z4" s="173" t="s">
        <v>13</v>
      </c>
      <c r="AA4" s="173" t="s">
        <v>13</v>
      </c>
      <c r="AB4" s="173" t="s">
        <v>13</v>
      </c>
      <c r="AC4" s="173"/>
      <c r="AD4" s="173"/>
      <c r="AG4" s="173"/>
      <c r="AH4" s="255"/>
      <c r="AI4" s="255"/>
      <c r="AJ4" s="255"/>
      <c r="AK4" s="255"/>
      <c r="AL4" s="255"/>
      <c r="AM4" s="255"/>
      <c r="AN4" s="255"/>
    </row>
    <row r="5" spans="1:40">
      <c r="A5" s="173" t="s">
        <v>13</v>
      </c>
      <c r="B5" s="173" t="s">
        <v>13</v>
      </c>
      <c r="C5" s="173" t="s">
        <v>13</v>
      </c>
      <c r="D5" s="173" t="s">
        <v>13</v>
      </c>
      <c r="E5" s="173" t="s">
        <v>13</v>
      </c>
      <c r="F5" s="173" t="s">
        <v>13</v>
      </c>
      <c r="G5" s="173" t="s">
        <v>13</v>
      </c>
      <c r="H5" s="173" t="s">
        <v>13</v>
      </c>
      <c r="I5" s="173" t="s">
        <v>13</v>
      </c>
      <c r="J5" s="173" t="s">
        <v>13</v>
      </c>
      <c r="K5" s="173" t="s">
        <v>13</v>
      </c>
      <c r="L5" s="173" t="s">
        <v>13</v>
      </c>
      <c r="M5" s="173" t="s">
        <v>13</v>
      </c>
      <c r="N5" s="173" t="s">
        <v>13</v>
      </c>
      <c r="O5" s="173" t="s">
        <v>13</v>
      </c>
      <c r="P5" s="173" t="s">
        <v>13</v>
      </c>
      <c r="Q5" s="173" t="s">
        <v>13</v>
      </c>
      <c r="R5" s="173" t="s">
        <v>13</v>
      </c>
      <c r="S5" s="173" t="s">
        <v>13</v>
      </c>
      <c r="T5" s="173" t="s">
        <v>13</v>
      </c>
      <c r="U5" s="173" t="s">
        <v>13</v>
      </c>
      <c r="V5" s="173" t="s">
        <v>13</v>
      </c>
      <c r="W5" s="35" t="s">
        <v>13</v>
      </c>
      <c r="X5" s="35" t="s">
        <v>13</v>
      </c>
      <c r="Y5" s="173" t="s">
        <v>13</v>
      </c>
      <c r="Z5" s="173" t="s">
        <v>13</v>
      </c>
      <c r="AA5" s="173" t="s">
        <v>13</v>
      </c>
      <c r="AB5" s="173" t="s">
        <v>13</v>
      </c>
      <c r="AC5" s="173"/>
      <c r="AD5" s="173"/>
      <c r="AG5" s="173"/>
      <c r="AH5" s="255"/>
      <c r="AI5" s="255"/>
      <c r="AJ5" s="255"/>
      <c r="AK5" s="255"/>
      <c r="AL5" s="255"/>
      <c r="AM5" s="255"/>
      <c r="AN5" s="255"/>
    </row>
    <row r="6" spans="1:40">
      <c r="A6" s="173" t="s">
        <v>13</v>
      </c>
      <c r="B6" s="173" t="s">
        <v>13</v>
      </c>
      <c r="C6" s="173" t="s">
        <v>13</v>
      </c>
      <c r="D6" s="173" t="s">
        <v>13</v>
      </c>
      <c r="E6" s="173" t="s">
        <v>13</v>
      </c>
      <c r="F6" s="173" t="s">
        <v>13</v>
      </c>
      <c r="G6" s="173" t="s">
        <v>13</v>
      </c>
      <c r="H6" s="173" t="s">
        <v>13</v>
      </c>
      <c r="I6" s="173" t="s">
        <v>13</v>
      </c>
      <c r="J6" s="173" t="s">
        <v>13</v>
      </c>
      <c r="K6" s="173" t="s">
        <v>13</v>
      </c>
      <c r="L6" s="173" t="s">
        <v>13</v>
      </c>
      <c r="M6" s="173" t="s">
        <v>13</v>
      </c>
      <c r="N6" s="173" t="s">
        <v>13</v>
      </c>
      <c r="O6" s="173" t="s">
        <v>13</v>
      </c>
      <c r="P6" s="173" t="s">
        <v>13</v>
      </c>
      <c r="Q6" s="173" t="s">
        <v>13</v>
      </c>
      <c r="R6" s="173" t="s">
        <v>13</v>
      </c>
      <c r="S6" s="173" t="s">
        <v>13</v>
      </c>
      <c r="T6" s="173" t="s">
        <v>13</v>
      </c>
      <c r="U6" s="173" t="s">
        <v>13</v>
      </c>
      <c r="V6" s="173" t="s">
        <v>13</v>
      </c>
      <c r="W6" s="35"/>
      <c r="X6" s="35"/>
      <c r="Y6" s="173" t="s">
        <v>13</v>
      </c>
      <c r="Z6" s="173" t="s">
        <v>13</v>
      </c>
      <c r="AA6" s="173" t="s">
        <v>13</v>
      </c>
      <c r="AB6" s="173" t="s">
        <v>13</v>
      </c>
      <c r="AC6" s="173"/>
      <c r="AD6" s="173"/>
      <c r="AG6" s="173"/>
      <c r="AH6" s="255"/>
      <c r="AI6" s="255"/>
      <c r="AJ6" s="255"/>
      <c r="AK6" s="255"/>
      <c r="AL6" s="255"/>
      <c r="AM6" s="255"/>
      <c r="AN6" s="255"/>
    </row>
    <row r="7" spans="1:40">
      <c r="A7" s="173" t="s">
        <v>13</v>
      </c>
      <c r="B7" s="173" t="s">
        <v>13</v>
      </c>
      <c r="C7" s="173" t="s">
        <v>13</v>
      </c>
      <c r="D7" s="173" t="s">
        <v>13</v>
      </c>
      <c r="E7" s="173" t="s">
        <v>13</v>
      </c>
      <c r="F7" s="173" t="s">
        <v>13</v>
      </c>
      <c r="G7" s="173" t="s">
        <v>13</v>
      </c>
      <c r="H7" s="173" t="s">
        <v>13</v>
      </c>
      <c r="I7" s="173" t="s">
        <v>13</v>
      </c>
      <c r="J7" s="173" t="s">
        <v>13</v>
      </c>
      <c r="K7" s="173" t="s">
        <v>13</v>
      </c>
      <c r="L7" s="173" t="s">
        <v>13</v>
      </c>
      <c r="M7" s="173" t="s">
        <v>13</v>
      </c>
      <c r="N7" s="173" t="s">
        <v>13</v>
      </c>
      <c r="O7" s="173" t="s">
        <v>13</v>
      </c>
      <c r="P7" s="173" t="s">
        <v>13</v>
      </c>
      <c r="Q7" s="173" t="s">
        <v>13</v>
      </c>
      <c r="R7" s="173" t="s">
        <v>13</v>
      </c>
      <c r="S7" s="173" t="s">
        <v>13</v>
      </c>
      <c r="T7" s="173" t="s">
        <v>13</v>
      </c>
      <c r="U7" s="173" t="s">
        <v>13</v>
      </c>
      <c r="V7" s="173" t="s">
        <v>13</v>
      </c>
      <c r="W7" s="35" t="s">
        <v>13</v>
      </c>
      <c r="X7" s="35" t="s">
        <v>13</v>
      </c>
      <c r="Y7" s="173" t="s">
        <v>13</v>
      </c>
      <c r="Z7" s="173" t="s">
        <v>13</v>
      </c>
      <c r="AA7" s="173" t="s">
        <v>13</v>
      </c>
      <c r="AB7" s="173" t="s">
        <v>13</v>
      </c>
      <c r="AC7" s="173"/>
      <c r="AD7" s="173"/>
      <c r="AG7" s="173"/>
      <c r="AH7" s="255"/>
      <c r="AI7" s="255"/>
      <c r="AJ7" s="255"/>
      <c r="AK7" s="255"/>
      <c r="AL7" s="255"/>
      <c r="AM7" s="255"/>
      <c r="AN7" s="255"/>
    </row>
    <row r="8" spans="1:40">
      <c r="A8" s="173" t="s">
        <v>13</v>
      </c>
      <c r="B8" s="173" t="s">
        <v>13</v>
      </c>
      <c r="C8" s="173" t="s">
        <v>13</v>
      </c>
      <c r="D8" s="173" t="s">
        <v>13</v>
      </c>
      <c r="E8" s="173" t="s">
        <v>13</v>
      </c>
      <c r="F8" s="173" t="s">
        <v>13</v>
      </c>
      <c r="G8" s="173" t="s">
        <v>13</v>
      </c>
      <c r="H8" s="173" t="s">
        <v>13</v>
      </c>
      <c r="I8" s="173" t="s">
        <v>13</v>
      </c>
      <c r="J8" s="173" t="s">
        <v>13</v>
      </c>
      <c r="K8" s="173" t="s">
        <v>13</v>
      </c>
      <c r="L8" s="173" t="s">
        <v>13</v>
      </c>
      <c r="M8" s="173" t="s">
        <v>13</v>
      </c>
      <c r="N8" s="173" t="s">
        <v>13</v>
      </c>
      <c r="O8" s="173" t="s">
        <v>13</v>
      </c>
      <c r="P8" s="173" t="s">
        <v>13</v>
      </c>
      <c r="Q8" s="173" t="s">
        <v>13</v>
      </c>
      <c r="R8" s="173" t="s">
        <v>13</v>
      </c>
      <c r="S8" s="173" t="s">
        <v>13</v>
      </c>
      <c r="T8" s="173" t="s">
        <v>13</v>
      </c>
      <c r="U8" s="173" t="s">
        <v>13</v>
      </c>
      <c r="V8" s="173" t="s">
        <v>13</v>
      </c>
      <c r="W8" s="35" t="s">
        <v>13</v>
      </c>
      <c r="X8" s="35" t="s">
        <v>13</v>
      </c>
      <c r="Y8" s="173" t="s">
        <v>13</v>
      </c>
      <c r="Z8" s="173" t="s">
        <v>13</v>
      </c>
      <c r="AA8" s="173" t="s">
        <v>13</v>
      </c>
      <c r="AB8" s="173" t="s">
        <v>13</v>
      </c>
      <c r="AC8" s="173"/>
      <c r="AD8" s="173"/>
      <c r="AG8" s="173"/>
      <c r="AH8" s="255"/>
      <c r="AI8" s="255"/>
      <c r="AJ8" s="255"/>
      <c r="AK8" s="255"/>
      <c r="AL8" s="255"/>
      <c r="AM8" s="255"/>
      <c r="AN8" s="255"/>
    </row>
    <row r="9" spans="1:40" ht="31.5" thickBot="1">
      <c r="A9" s="173" t="s">
        <v>13</v>
      </c>
      <c r="B9" s="173" t="s">
        <v>13</v>
      </c>
      <c r="C9" s="173" t="s">
        <v>13</v>
      </c>
      <c r="D9" s="176" t="s">
        <v>262</v>
      </c>
      <c r="E9" s="177" t="s">
        <v>119</v>
      </c>
      <c r="F9" s="178" t="s">
        <v>79</v>
      </c>
      <c r="G9" s="177" t="s">
        <v>263</v>
      </c>
      <c r="H9" s="177" t="s">
        <v>121</v>
      </c>
      <c r="I9" s="177" t="s">
        <v>82</v>
      </c>
      <c r="J9" s="177" t="s">
        <v>83</v>
      </c>
      <c r="K9" s="177" t="s">
        <v>447</v>
      </c>
      <c r="L9" s="179" t="s">
        <v>13</v>
      </c>
      <c r="M9" s="177" t="s">
        <v>264</v>
      </c>
      <c r="N9" s="177" t="s">
        <v>265</v>
      </c>
      <c r="O9" s="177" t="s">
        <v>266</v>
      </c>
      <c r="P9" s="177" t="s">
        <v>267</v>
      </c>
      <c r="Q9" s="177" t="s">
        <v>268</v>
      </c>
      <c r="R9" s="177" t="s">
        <v>269</v>
      </c>
      <c r="S9" s="177" t="s">
        <v>270</v>
      </c>
      <c r="T9" s="177" t="s">
        <v>271</v>
      </c>
      <c r="U9" s="177" t="s">
        <v>142</v>
      </c>
      <c r="V9" s="177" t="s">
        <v>143</v>
      </c>
      <c r="W9" s="60" t="s">
        <v>144</v>
      </c>
      <c r="X9" s="60" t="s">
        <v>145</v>
      </c>
      <c r="Y9" s="177" t="s">
        <v>171</v>
      </c>
      <c r="Z9" s="177" t="s">
        <v>172</v>
      </c>
      <c r="AA9" s="177" t="s">
        <v>173</v>
      </c>
      <c r="AB9" s="177" t="s">
        <v>174</v>
      </c>
      <c r="AC9" s="177" t="s">
        <v>272</v>
      </c>
      <c r="AD9" s="177" t="s">
        <v>151</v>
      </c>
      <c r="AE9" s="177" t="s">
        <v>152</v>
      </c>
      <c r="AF9" s="60" t="s">
        <v>153</v>
      </c>
      <c r="AG9" s="177" t="s">
        <v>273</v>
      </c>
      <c r="AH9" s="177" t="s">
        <v>155</v>
      </c>
      <c r="AI9" s="177" t="s">
        <v>156</v>
      </c>
      <c r="AJ9" s="177" t="s">
        <v>157</v>
      </c>
      <c r="AK9" s="177" t="s">
        <v>158</v>
      </c>
      <c r="AL9" s="177" t="s">
        <v>159</v>
      </c>
      <c r="AM9" s="177" t="s">
        <v>160</v>
      </c>
      <c r="AN9" s="177" t="s">
        <v>449</v>
      </c>
    </row>
    <row r="10" spans="1:40">
      <c r="A10" s="175" t="s">
        <v>13</v>
      </c>
      <c r="B10" s="175" t="s">
        <v>13</v>
      </c>
      <c r="C10" s="175" t="s">
        <v>13</v>
      </c>
      <c r="D10" s="175" t="s">
        <v>274</v>
      </c>
      <c r="E10" s="180">
        <v>14061</v>
      </c>
      <c r="F10" s="180">
        <v>14185</v>
      </c>
      <c r="G10" s="180">
        <v>14303</v>
      </c>
      <c r="H10" s="180">
        <v>8036</v>
      </c>
      <c r="I10" s="180">
        <v>20275</v>
      </c>
      <c r="J10" s="257">
        <v>22332</v>
      </c>
      <c r="K10" s="257">
        <v>19939</v>
      </c>
      <c r="L10" s="175" t="s">
        <v>13</v>
      </c>
      <c r="M10" s="180">
        <v>3491</v>
      </c>
      <c r="N10" s="180">
        <v>3285</v>
      </c>
      <c r="O10" s="180">
        <v>3669</v>
      </c>
      <c r="P10" s="180">
        <v>3616</v>
      </c>
      <c r="Q10" s="180">
        <v>3616</v>
      </c>
      <c r="R10" s="180">
        <v>4226</v>
      </c>
      <c r="S10" s="180">
        <v>1838</v>
      </c>
      <c r="T10" s="180">
        <v>4505</v>
      </c>
      <c r="U10" s="180">
        <v>2919</v>
      </c>
      <c r="V10" s="180">
        <v>2600</v>
      </c>
      <c r="W10" s="211">
        <v>3492</v>
      </c>
      <c r="X10" s="211">
        <v>5292</v>
      </c>
      <c r="Y10" s="175">
        <v>639</v>
      </c>
      <c r="Z10" s="180">
        <v>-1628</v>
      </c>
      <c r="AA10" s="180">
        <v>4568</v>
      </c>
      <c r="AB10" s="180">
        <v>4937</v>
      </c>
      <c r="AC10" s="180">
        <v>8423</v>
      </c>
      <c r="AD10" s="180">
        <v>4815</v>
      </c>
      <c r="AE10" s="180">
        <v>3329</v>
      </c>
      <c r="AF10" s="211">
        <v>3708</v>
      </c>
      <c r="AG10" s="180">
        <v>6038</v>
      </c>
      <c r="AH10" s="257">
        <v>10801</v>
      </c>
      <c r="AI10" s="257">
        <v>2050</v>
      </c>
      <c r="AJ10" s="274">
        <v>3443</v>
      </c>
      <c r="AK10" s="274">
        <v>5100</v>
      </c>
      <c r="AL10" s="274">
        <v>4993</v>
      </c>
      <c r="AM10" s="274">
        <v>4458</v>
      </c>
      <c r="AN10" s="274">
        <v>5388</v>
      </c>
    </row>
    <row r="11" spans="1:40">
      <c r="A11" s="173" t="s">
        <v>13</v>
      </c>
      <c r="B11" s="173" t="s">
        <v>13</v>
      </c>
      <c r="C11" s="173" t="s">
        <v>13</v>
      </c>
      <c r="D11" s="173" t="s">
        <v>275</v>
      </c>
      <c r="E11" s="181">
        <v>5599</v>
      </c>
      <c r="F11" s="181">
        <v>5588</v>
      </c>
      <c r="G11" s="181">
        <v>-2968</v>
      </c>
      <c r="H11" s="173">
        <v>559</v>
      </c>
      <c r="I11" s="173">
        <v>-22</v>
      </c>
      <c r="J11" s="258">
        <v>12253</v>
      </c>
      <c r="K11" s="259">
        <v>605</v>
      </c>
      <c r="L11" s="173" t="s">
        <v>13</v>
      </c>
      <c r="M11" s="181">
        <v>1392</v>
      </c>
      <c r="N11" s="181">
        <v>1957</v>
      </c>
      <c r="O11" s="181">
        <v>1006</v>
      </c>
      <c r="P11" s="181">
        <v>1244</v>
      </c>
      <c r="Q11" s="173">
        <v>955</v>
      </c>
      <c r="R11" s="181">
        <v>1164</v>
      </c>
      <c r="S11" s="181">
        <v>1679</v>
      </c>
      <c r="T11" s="181">
        <v>1790</v>
      </c>
      <c r="U11" s="181">
        <v>-2129</v>
      </c>
      <c r="V11" s="181">
        <v>-2723</v>
      </c>
      <c r="W11" s="35">
        <v>270</v>
      </c>
      <c r="X11" s="212">
        <v>1614</v>
      </c>
      <c r="Y11" s="181">
        <v>2880</v>
      </c>
      <c r="Z11" s="181">
        <v>2895</v>
      </c>
      <c r="AA11" s="181">
        <v>-2287</v>
      </c>
      <c r="AB11" s="181">
        <v>-2929</v>
      </c>
      <c r="AC11" s="181">
        <v>-1325</v>
      </c>
      <c r="AD11" s="181">
        <v>-2845</v>
      </c>
      <c r="AE11" s="181">
        <v>1945</v>
      </c>
      <c r="AF11" s="212">
        <v>2203</v>
      </c>
      <c r="AG11" s="181">
        <v>2936</v>
      </c>
      <c r="AH11" s="258">
        <v>5846</v>
      </c>
      <c r="AI11" s="258">
        <v>2395</v>
      </c>
      <c r="AJ11" s="275">
        <v>1076</v>
      </c>
      <c r="AK11" s="275">
        <v>1148</v>
      </c>
      <c r="AL11" s="275">
        <v>468</v>
      </c>
      <c r="AM11" s="275">
        <v>-39</v>
      </c>
      <c r="AN11" s="275">
        <v>-972</v>
      </c>
    </row>
    <row r="12" spans="1:40">
      <c r="A12" s="173" t="s">
        <v>13</v>
      </c>
      <c r="B12" s="173" t="s">
        <v>13</v>
      </c>
      <c r="C12" s="173" t="s">
        <v>13</v>
      </c>
      <c r="D12" s="173" t="s">
        <v>276</v>
      </c>
      <c r="E12" s="173">
        <v>690</v>
      </c>
      <c r="F12" s="181">
        <v>-4060</v>
      </c>
      <c r="G12" s="181">
        <v>-1750</v>
      </c>
      <c r="H12" s="181">
        <v>9536</v>
      </c>
      <c r="I12" s="181">
        <v>9233</v>
      </c>
      <c r="J12" s="258">
        <v>-511</v>
      </c>
      <c r="K12" s="258">
        <v>-5017</v>
      </c>
      <c r="L12" s="173" t="s">
        <v>13</v>
      </c>
      <c r="M12" s="173">
        <v>370</v>
      </c>
      <c r="N12" s="173">
        <v>-40</v>
      </c>
      <c r="O12" s="173">
        <v>165</v>
      </c>
      <c r="P12" s="173">
        <v>195</v>
      </c>
      <c r="Q12" s="173">
        <v>-555</v>
      </c>
      <c r="R12" s="181">
        <v>-1805</v>
      </c>
      <c r="S12" s="173">
        <v>-785</v>
      </c>
      <c r="T12" s="173">
        <v>-915</v>
      </c>
      <c r="U12" s="173">
        <v>-735</v>
      </c>
      <c r="V12" s="173">
        <v>-325</v>
      </c>
      <c r="W12" s="35">
        <v>-35</v>
      </c>
      <c r="X12" s="35">
        <v>-655</v>
      </c>
      <c r="Y12" s="181">
        <v>1002</v>
      </c>
      <c r="Z12" s="181">
        <v>2720</v>
      </c>
      <c r="AA12" s="181">
        <v>2598</v>
      </c>
      <c r="AB12" s="181">
        <v>3216</v>
      </c>
      <c r="AC12" s="181">
        <v>2494</v>
      </c>
      <c r="AD12" s="181">
        <v>3551</v>
      </c>
      <c r="AE12" s="181">
        <v>1123</v>
      </c>
      <c r="AF12" s="212">
        <v>2065</v>
      </c>
      <c r="AG12" s="181">
        <v>902</v>
      </c>
      <c r="AH12" s="258">
        <v>-1843</v>
      </c>
      <c r="AI12" s="258">
        <v>-437</v>
      </c>
      <c r="AJ12" s="275">
        <v>867</v>
      </c>
      <c r="AK12" s="275">
        <v>-2016</v>
      </c>
      <c r="AL12" s="275">
        <v>267</v>
      </c>
      <c r="AM12" s="275">
        <v>-2388</v>
      </c>
      <c r="AN12" s="275">
        <v>-880</v>
      </c>
    </row>
    <row r="13" spans="1:40">
      <c r="A13" s="173" t="s">
        <v>13</v>
      </c>
      <c r="B13" s="173" t="s">
        <v>13</v>
      </c>
      <c r="C13" s="173" t="s">
        <v>13</v>
      </c>
      <c r="D13" s="173" t="s">
        <v>277</v>
      </c>
      <c r="E13" s="173">
        <v>628</v>
      </c>
      <c r="F13" s="181">
        <v>-1506</v>
      </c>
      <c r="G13" s="173">
        <v>-383</v>
      </c>
      <c r="H13" s="173">
        <v>-127</v>
      </c>
      <c r="I13" s="173">
        <v>54</v>
      </c>
      <c r="J13" s="259">
        <v>-6</v>
      </c>
      <c r="K13" s="259">
        <v>-236</v>
      </c>
      <c r="L13" s="173" t="s">
        <v>13</v>
      </c>
      <c r="M13" s="173">
        <v>496</v>
      </c>
      <c r="N13" s="173">
        <v>619</v>
      </c>
      <c r="O13" s="173">
        <v>45</v>
      </c>
      <c r="P13" s="173">
        <v>-533</v>
      </c>
      <c r="Q13" s="173">
        <v>-605</v>
      </c>
      <c r="R13" s="173">
        <v>-785</v>
      </c>
      <c r="S13" s="173">
        <v>-267</v>
      </c>
      <c r="T13" s="173">
        <v>150</v>
      </c>
      <c r="U13" s="173">
        <v>-56</v>
      </c>
      <c r="V13" s="173">
        <v>150</v>
      </c>
      <c r="W13" s="35">
        <v>-132</v>
      </c>
      <c r="X13" s="35">
        <v>-345</v>
      </c>
      <c r="Y13" s="173">
        <v>-5</v>
      </c>
      <c r="Z13" s="173">
        <v>-123</v>
      </c>
      <c r="AA13" s="173">
        <v>-308</v>
      </c>
      <c r="AB13" s="173">
        <v>-78</v>
      </c>
      <c r="AC13" s="173">
        <v>52</v>
      </c>
      <c r="AD13" s="173">
        <v>-78</v>
      </c>
      <c r="AE13" s="173">
        <v>71</v>
      </c>
      <c r="AF13" s="35">
        <v>9</v>
      </c>
      <c r="AG13" s="173">
        <v>-72</v>
      </c>
      <c r="AH13" s="11">
        <v>34</v>
      </c>
      <c r="AI13" s="11">
        <v>65</v>
      </c>
      <c r="AJ13" s="63">
        <v>29</v>
      </c>
      <c r="AK13" s="63">
        <v>-17</v>
      </c>
      <c r="AL13" s="4">
        <v>-46</v>
      </c>
      <c r="AM13" s="4">
        <v>-163</v>
      </c>
      <c r="AN13" s="4">
        <v>-10</v>
      </c>
    </row>
    <row r="14" spans="1:40">
      <c r="A14" s="173" t="s">
        <v>13</v>
      </c>
      <c r="B14" s="173" t="s">
        <v>13</v>
      </c>
      <c r="C14" s="173" t="s">
        <v>13</v>
      </c>
      <c r="D14" s="173" t="s">
        <v>278</v>
      </c>
      <c r="E14" s="182" t="s">
        <v>124</v>
      </c>
      <c r="F14" s="173">
        <v>-65</v>
      </c>
      <c r="G14" s="173">
        <v>450</v>
      </c>
      <c r="H14" s="173">
        <v>-219</v>
      </c>
      <c r="I14" s="173">
        <v>-103</v>
      </c>
      <c r="J14" s="259">
        <v>-83</v>
      </c>
      <c r="K14" s="259">
        <v>-107</v>
      </c>
      <c r="L14" s="183" t="s">
        <v>13</v>
      </c>
      <c r="M14" s="182" t="s">
        <v>124</v>
      </c>
      <c r="N14" s="182" t="s">
        <v>124</v>
      </c>
      <c r="O14" s="182" t="s">
        <v>124</v>
      </c>
      <c r="P14" s="182" t="s">
        <v>124</v>
      </c>
      <c r="Q14" s="173">
        <v>250</v>
      </c>
      <c r="R14" s="173">
        <v>620</v>
      </c>
      <c r="S14" s="173">
        <v>60</v>
      </c>
      <c r="T14" s="173">
        <v>-995</v>
      </c>
      <c r="U14" s="173">
        <v>390</v>
      </c>
      <c r="V14" s="173">
        <v>-310</v>
      </c>
      <c r="W14" s="35">
        <v>220</v>
      </c>
      <c r="X14" s="35">
        <v>150</v>
      </c>
      <c r="Y14" s="173">
        <v>-225</v>
      </c>
      <c r="Z14" s="173">
        <v>130</v>
      </c>
      <c r="AA14" s="173">
        <v>35</v>
      </c>
      <c r="AB14" s="173">
        <v>-159</v>
      </c>
      <c r="AC14" s="173">
        <v>98</v>
      </c>
      <c r="AD14" s="173">
        <v>-146</v>
      </c>
      <c r="AE14" s="173">
        <v>-202</v>
      </c>
      <c r="AF14" s="35">
        <v>147</v>
      </c>
      <c r="AG14" s="173">
        <v>-392</v>
      </c>
      <c r="AH14" s="11">
        <v>215</v>
      </c>
      <c r="AI14" s="11">
        <v>72</v>
      </c>
      <c r="AJ14" s="4">
        <v>-40</v>
      </c>
      <c r="AK14" s="4">
        <v>226</v>
      </c>
      <c r="AL14" s="4">
        <v>-212</v>
      </c>
      <c r="AM14" s="4">
        <v>-103</v>
      </c>
      <c r="AN14" s="4">
        <v>-18</v>
      </c>
    </row>
    <row r="15" spans="1:40">
      <c r="A15" s="173" t="s">
        <v>13</v>
      </c>
      <c r="B15" s="173" t="s">
        <v>13</v>
      </c>
      <c r="C15" s="173" t="s">
        <v>13</v>
      </c>
      <c r="D15" s="173" t="s">
        <v>279</v>
      </c>
      <c r="E15" s="173">
        <v>-485</v>
      </c>
      <c r="F15" s="173">
        <v>-125</v>
      </c>
      <c r="G15" s="181">
        <v>-4970</v>
      </c>
      <c r="H15" s="173">
        <v>400</v>
      </c>
      <c r="I15" s="173">
        <v>777</v>
      </c>
      <c r="J15" s="258">
        <v>1824</v>
      </c>
      <c r="K15" s="259">
        <v>121</v>
      </c>
      <c r="L15" s="173" t="s">
        <v>13</v>
      </c>
      <c r="M15" s="173">
        <v>-635</v>
      </c>
      <c r="N15" s="173">
        <v>740</v>
      </c>
      <c r="O15" s="173">
        <v>290</v>
      </c>
      <c r="P15" s="173">
        <v>-880</v>
      </c>
      <c r="Q15" s="173">
        <v>120</v>
      </c>
      <c r="R15" s="173">
        <v>-595</v>
      </c>
      <c r="S15" s="173">
        <v>495</v>
      </c>
      <c r="T15" s="173">
        <v>-145</v>
      </c>
      <c r="U15" s="173">
        <v>-575</v>
      </c>
      <c r="V15" s="173">
        <v>-745</v>
      </c>
      <c r="W15" s="212">
        <v>-1580</v>
      </c>
      <c r="X15" s="212">
        <v>-2070</v>
      </c>
      <c r="Y15" s="173">
        <v>-950</v>
      </c>
      <c r="Z15" s="173">
        <v>-420</v>
      </c>
      <c r="AA15" s="173">
        <v>681</v>
      </c>
      <c r="AB15" s="181">
        <v>1089</v>
      </c>
      <c r="AC15" s="181">
        <v>-492</v>
      </c>
      <c r="AD15" s="181">
        <v>1783</v>
      </c>
      <c r="AE15" s="181">
        <v>64</v>
      </c>
      <c r="AF15" s="212">
        <v>-578</v>
      </c>
      <c r="AG15" s="181">
        <v>1209</v>
      </c>
      <c r="AH15" s="11">
        <v>869</v>
      </c>
      <c r="AI15" s="11">
        <v>332</v>
      </c>
      <c r="AJ15" s="4">
        <v>-586</v>
      </c>
      <c r="AK15" s="4">
        <v>378</v>
      </c>
      <c r="AL15" s="63">
        <v>-940</v>
      </c>
      <c r="AM15" s="275">
        <v>-1259</v>
      </c>
      <c r="AN15" s="275">
        <v>1942</v>
      </c>
    </row>
    <row r="16" spans="1:40" ht="16.5">
      <c r="A16" s="173" t="s">
        <v>13</v>
      </c>
      <c r="B16" s="173" t="s">
        <v>13</v>
      </c>
      <c r="C16" s="173" t="s">
        <v>13</v>
      </c>
      <c r="D16" s="173" t="s">
        <v>280</v>
      </c>
      <c r="E16" s="173">
        <v>-133</v>
      </c>
      <c r="F16" s="173">
        <v>-235</v>
      </c>
      <c r="G16" s="173">
        <v>-856</v>
      </c>
      <c r="H16" s="181">
        <v>-3141</v>
      </c>
      <c r="I16" s="181">
        <v>5394</v>
      </c>
      <c r="J16" s="258">
        <v>-4172</v>
      </c>
      <c r="K16" s="258">
        <v>2608</v>
      </c>
      <c r="L16" s="173" t="s">
        <v>13</v>
      </c>
      <c r="M16" s="183">
        <v>-33</v>
      </c>
      <c r="N16" s="183">
        <v>129</v>
      </c>
      <c r="O16" s="183">
        <v>10</v>
      </c>
      <c r="P16" s="183">
        <v>-239</v>
      </c>
      <c r="Q16" s="183">
        <v>-57</v>
      </c>
      <c r="R16" s="183">
        <v>-156</v>
      </c>
      <c r="S16" s="183">
        <v>-396</v>
      </c>
      <c r="T16" s="183">
        <v>374</v>
      </c>
      <c r="U16" s="183">
        <v>-413</v>
      </c>
      <c r="V16" s="183">
        <v>-322</v>
      </c>
      <c r="W16" s="57">
        <v>99</v>
      </c>
      <c r="X16" s="57">
        <v>-220</v>
      </c>
      <c r="Y16" s="183">
        <v>119</v>
      </c>
      <c r="Z16" s="183">
        <v>-549</v>
      </c>
      <c r="AA16" s="183">
        <v>-737</v>
      </c>
      <c r="AB16" s="184">
        <v>-1974</v>
      </c>
      <c r="AC16" s="184">
        <v>-2734</v>
      </c>
      <c r="AD16" s="181">
        <v>7088</v>
      </c>
      <c r="AE16" s="181">
        <v>-476</v>
      </c>
      <c r="AF16" s="212">
        <v>1516</v>
      </c>
      <c r="AG16" s="184">
        <v>-1376</v>
      </c>
      <c r="AH16" s="236">
        <v>-1724</v>
      </c>
      <c r="AI16" s="236">
        <v>-227</v>
      </c>
      <c r="AJ16" s="63" t="s">
        <v>124</v>
      </c>
      <c r="AK16" s="63">
        <v>-874</v>
      </c>
      <c r="AL16" s="275">
        <v>1187</v>
      </c>
      <c r="AM16" s="275">
        <v>1770</v>
      </c>
      <c r="AN16" s="275">
        <v>525</v>
      </c>
    </row>
    <row r="17" spans="1:40">
      <c r="A17" s="173" t="s">
        <v>13</v>
      </c>
      <c r="B17" s="173" t="s">
        <v>13</v>
      </c>
      <c r="C17" s="173" t="s">
        <v>13</v>
      </c>
      <c r="D17" s="173" t="s">
        <v>281</v>
      </c>
      <c r="E17" s="182" t="s">
        <v>124</v>
      </c>
      <c r="F17" s="182" t="s">
        <v>124</v>
      </c>
      <c r="G17" s="181">
        <v>1013</v>
      </c>
      <c r="H17" s="173">
        <v>-930</v>
      </c>
      <c r="I17" s="173">
        <v>0</v>
      </c>
      <c r="J17" s="259">
        <v>-624</v>
      </c>
      <c r="K17" s="259">
        <v>624</v>
      </c>
      <c r="L17" s="173" t="s">
        <v>13</v>
      </c>
      <c r="M17" s="182" t="s">
        <v>124</v>
      </c>
      <c r="N17" s="182" t="s">
        <v>124</v>
      </c>
      <c r="O17" s="182" t="s">
        <v>124</v>
      </c>
      <c r="P17" s="182" t="s">
        <v>124</v>
      </c>
      <c r="Q17" s="182" t="s">
        <v>124</v>
      </c>
      <c r="R17" s="182" t="s">
        <v>124</v>
      </c>
      <c r="S17" s="182" t="s">
        <v>124</v>
      </c>
      <c r="T17" s="182" t="s">
        <v>124</v>
      </c>
      <c r="U17" s="182" t="s">
        <v>124</v>
      </c>
      <c r="V17" s="184">
        <v>1074</v>
      </c>
      <c r="W17" s="213" t="s">
        <v>124</v>
      </c>
      <c r="X17" s="57">
        <v>-61</v>
      </c>
      <c r="Y17" s="183">
        <v>55</v>
      </c>
      <c r="Z17" s="184">
        <v>-1063</v>
      </c>
      <c r="AA17" s="183" t="s">
        <v>124</v>
      </c>
      <c r="AB17" s="183">
        <v>78</v>
      </c>
      <c r="AC17" s="183">
        <v>-9</v>
      </c>
      <c r="AD17" s="173">
        <v>-10</v>
      </c>
      <c r="AE17" s="173">
        <v>4</v>
      </c>
      <c r="AF17" s="35">
        <v>15</v>
      </c>
      <c r="AG17" s="183" t="s">
        <v>124</v>
      </c>
      <c r="AH17" s="238">
        <v>-880</v>
      </c>
      <c r="AI17" s="238">
        <v>256</v>
      </c>
      <c r="AJ17" s="63" t="s">
        <v>124</v>
      </c>
      <c r="AK17" s="63" t="s">
        <v>124</v>
      </c>
      <c r="AL17" s="63">
        <v>880</v>
      </c>
      <c r="AM17" s="63">
        <v>-256</v>
      </c>
      <c r="AN17" s="56" t="s">
        <v>124</v>
      </c>
    </row>
    <row r="18" spans="1:40">
      <c r="A18" s="173" t="s">
        <v>13</v>
      </c>
      <c r="B18" s="173" t="s">
        <v>13</v>
      </c>
      <c r="C18" s="173" t="s">
        <v>13</v>
      </c>
      <c r="D18" s="173" t="s">
        <v>282</v>
      </c>
      <c r="E18" s="182" t="s">
        <v>124</v>
      </c>
      <c r="F18" s="182" t="s">
        <v>124</v>
      </c>
      <c r="G18" s="173">
        <v>672</v>
      </c>
      <c r="H18" s="181">
        <v>2542</v>
      </c>
      <c r="I18" s="181">
        <v>0</v>
      </c>
      <c r="J18" s="258">
        <v>-5899</v>
      </c>
      <c r="K18" s="258">
        <v>-1702</v>
      </c>
      <c r="L18" s="173" t="s">
        <v>13</v>
      </c>
      <c r="M18" s="182" t="s">
        <v>124</v>
      </c>
      <c r="N18" s="182" t="s">
        <v>124</v>
      </c>
      <c r="O18" s="182" t="s">
        <v>124</v>
      </c>
      <c r="P18" s="182" t="s">
        <v>124</v>
      </c>
      <c r="Q18" s="182" t="s">
        <v>124</v>
      </c>
      <c r="R18" s="182" t="s">
        <v>124</v>
      </c>
      <c r="S18" s="182" t="s">
        <v>124</v>
      </c>
      <c r="T18" s="182" t="s">
        <v>124</v>
      </c>
      <c r="U18" s="182" t="s">
        <v>124</v>
      </c>
      <c r="V18" s="182" t="s">
        <v>124</v>
      </c>
      <c r="W18" s="57">
        <v>672</v>
      </c>
      <c r="X18" s="213" t="s">
        <v>124</v>
      </c>
      <c r="Y18" s="184">
        <v>3214</v>
      </c>
      <c r="Z18" s="182" t="s">
        <v>124</v>
      </c>
      <c r="AA18" s="183">
        <v>-672</v>
      </c>
      <c r="AB18" s="182" t="s">
        <v>124</v>
      </c>
      <c r="AC18" s="183" t="s">
        <v>124</v>
      </c>
      <c r="AD18" s="183" t="s">
        <v>124</v>
      </c>
      <c r="AE18" s="183" t="s">
        <v>124</v>
      </c>
      <c r="AF18" s="57" t="s">
        <v>124</v>
      </c>
      <c r="AG18" s="183" t="s">
        <v>124</v>
      </c>
      <c r="AH18" s="236">
        <v>-5899</v>
      </c>
      <c r="AI18" s="183" t="s">
        <v>124</v>
      </c>
      <c r="AJ18" s="64">
        <v>-845</v>
      </c>
      <c r="AK18" s="63" t="s">
        <v>124</v>
      </c>
      <c r="AL18" s="63" t="s">
        <v>124</v>
      </c>
      <c r="AM18" s="63" t="s">
        <v>124</v>
      </c>
      <c r="AN18" s="64">
        <v>-1702</v>
      </c>
    </row>
    <row r="19" spans="1:40" ht="16.5">
      <c r="A19" s="173" t="s">
        <v>13</v>
      </c>
      <c r="B19" s="173" t="s">
        <v>13</v>
      </c>
      <c r="C19" s="173" t="s">
        <v>13</v>
      </c>
      <c r="D19" s="185" t="s">
        <v>283</v>
      </c>
      <c r="E19" s="186">
        <v>-6175</v>
      </c>
      <c r="F19" s="185">
        <v>521</v>
      </c>
      <c r="G19" s="186">
        <v>2525</v>
      </c>
      <c r="H19" s="186">
        <v>3619</v>
      </c>
      <c r="I19" s="186">
        <v>-13276</v>
      </c>
      <c r="J19" s="260">
        <v>-5175</v>
      </c>
      <c r="K19" s="260">
        <v>5483</v>
      </c>
      <c r="L19" s="173" t="s">
        <v>13</v>
      </c>
      <c r="M19" s="187">
        <v>-1465</v>
      </c>
      <c r="N19" s="187">
        <v>-2464</v>
      </c>
      <c r="O19" s="187">
        <v>-3347</v>
      </c>
      <c r="P19" s="187">
        <v>1102</v>
      </c>
      <c r="Q19" s="188">
        <v>-805</v>
      </c>
      <c r="R19" s="188">
        <v>-69</v>
      </c>
      <c r="S19" s="188">
        <v>868</v>
      </c>
      <c r="T19" s="188">
        <v>528</v>
      </c>
      <c r="U19" s="187">
        <v>1238</v>
      </c>
      <c r="V19" s="187">
        <v>-1027</v>
      </c>
      <c r="W19" s="214">
        <v>1175</v>
      </c>
      <c r="X19" s="214">
        <v>1139</v>
      </c>
      <c r="Y19" s="187">
        <v>1694</v>
      </c>
      <c r="Z19" s="187">
        <v>2853</v>
      </c>
      <c r="AA19" s="188">
        <v>-549</v>
      </c>
      <c r="AB19" s="188">
        <v>-472</v>
      </c>
      <c r="AC19" s="188">
        <v>-469</v>
      </c>
      <c r="AD19" s="186">
        <v>-3357</v>
      </c>
      <c r="AE19" s="186">
        <v>-3808</v>
      </c>
      <c r="AF19" s="216">
        <v>-5642</v>
      </c>
      <c r="AG19" s="187">
        <v>-4145</v>
      </c>
      <c r="AH19" s="261">
        <v>-2426</v>
      </c>
      <c r="AI19" s="261">
        <v>-48</v>
      </c>
      <c r="AJ19" s="200">
        <v>1444</v>
      </c>
      <c r="AK19" s="200">
        <v>761</v>
      </c>
      <c r="AL19" s="200">
        <v>1372</v>
      </c>
      <c r="AM19" s="200">
        <v>3771</v>
      </c>
      <c r="AN19" s="200">
        <v>-420</v>
      </c>
    </row>
    <row r="20" spans="1:40">
      <c r="A20" s="175" t="s">
        <v>13</v>
      </c>
      <c r="B20" s="175" t="s">
        <v>13</v>
      </c>
      <c r="C20" s="175" t="s">
        <v>13</v>
      </c>
      <c r="D20" s="175" t="s">
        <v>284</v>
      </c>
      <c r="E20" s="180">
        <v>14185</v>
      </c>
      <c r="F20" s="180">
        <v>14303</v>
      </c>
      <c r="G20" s="180">
        <v>8036</v>
      </c>
      <c r="H20" s="180">
        <v>20275</v>
      </c>
      <c r="I20" s="180">
        <v>22332</v>
      </c>
      <c r="J20" s="257">
        <v>19939</v>
      </c>
      <c r="K20" s="257">
        <v>22318</v>
      </c>
      <c r="L20" s="175" t="s">
        <v>13</v>
      </c>
      <c r="M20" s="189">
        <v>3616</v>
      </c>
      <c r="N20" s="189">
        <v>4226</v>
      </c>
      <c r="O20" s="189">
        <v>1838</v>
      </c>
      <c r="P20" s="189">
        <v>4505</v>
      </c>
      <c r="Q20" s="189">
        <v>2919</v>
      </c>
      <c r="R20" s="189">
        <v>2600</v>
      </c>
      <c r="S20" s="189">
        <v>3492</v>
      </c>
      <c r="T20" s="189">
        <v>5292</v>
      </c>
      <c r="U20" s="190">
        <v>639</v>
      </c>
      <c r="V20" s="189">
        <v>-1628</v>
      </c>
      <c r="W20" s="215">
        <v>4181</v>
      </c>
      <c r="X20" s="215">
        <v>4844</v>
      </c>
      <c r="Y20" s="189">
        <v>8423</v>
      </c>
      <c r="Z20" s="189">
        <v>4815</v>
      </c>
      <c r="AA20" s="189">
        <v>3329</v>
      </c>
      <c r="AB20" s="189">
        <v>3708</v>
      </c>
      <c r="AC20" s="189">
        <v>6038</v>
      </c>
      <c r="AD20" s="180">
        <v>10801</v>
      </c>
      <c r="AE20" s="180">
        <v>2050</v>
      </c>
      <c r="AF20" s="211">
        <v>3443</v>
      </c>
      <c r="AG20" s="189">
        <f>SUM(AG10:AG19)</f>
        <v>5100</v>
      </c>
      <c r="AH20" s="262">
        <v>4993</v>
      </c>
      <c r="AI20" s="262">
        <v>4458</v>
      </c>
      <c r="AJ20" s="68">
        <v>5388</v>
      </c>
      <c r="AK20" s="68">
        <v>4706</v>
      </c>
      <c r="AL20" s="68">
        <v>7969</v>
      </c>
      <c r="AM20" s="68">
        <v>5791</v>
      </c>
      <c r="AN20" s="68">
        <v>3853</v>
      </c>
    </row>
    <row r="21" spans="1:40">
      <c r="A21" s="173" t="s">
        <v>13</v>
      </c>
      <c r="B21" s="173" t="s">
        <v>13</v>
      </c>
      <c r="C21" s="173" t="s">
        <v>13</v>
      </c>
      <c r="D21" s="173" t="s">
        <v>13</v>
      </c>
      <c r="E21" s="173" t="s">
        <v>13</v>
      </c>
      <c r="F21" s="173" t="s">
        <v>13</v>
      </c>
      <c r="G21" s="173" t="s">
        <v>13</v>
      </c>
      <c r="H21" s="173" t="s">
        <v>13</v>
      </c>
      <c r="I21" s="173"/>
      <c r="J21" s="255"/>
      <c r="K21" s="255"/>
      <c r="L21" s="173" t="s">
        <v>13</v>
      </c>
      <c r="M21" s="173" t="s">
        <v>13</v>
      </c>
      <c r="N21" s="173" t="s">
        <v>13</v>
      </c>
      <c r="O21" s="173" t="s">
        <v>13</v>
      </c>
      <c r="P21" s="173" t="s">
        <v>13</v>
      </c>
      <c r="Q21" s="173" t="s">
        <v>13</v>
      </c>
      <c r="R21" s="173" t="s">
        <v>13</v>
      </c>
      <c r="S21" s="173" t="s">
        <v>13</v>
      </c>
      <c r="T21" s="173" t="s">
        <v>13</v>
      </c>
      <c r="U21" s="173" t="s">
        <v>13</v>
      </c>
      <c r="V21" s="173" t="s">
        <v>13</v>
      </c>
      <c r="W21" s="35" t="s">
        <v>13</v>
      </c>
      <c r="X21" s="35" t="s">
        <v>13</v>
      </c>
      <c r="Y21" s="173" t="s">
        <v>13</v>
      </c>
      <c r="Z21" s="173" t="s">
        <v>13</v>
      </c>
      <c r="AA21" s="173" t="s">
        <v>13</v>
      </c>
      <c r="AB21" s="173" t="s">
        <v>13</v>
      </c>
      <c r="AC21" s="173"/>
      <c r="AD21" s="173"/>
      <c r="AE21" s="173"/>
      <c r="AF21" s="173"/>
      <c r="AG21" s="173"/>
      <c r="AH21" s="255"/>
      <c r="AI21" s="255"/>
      <c r="AJ21" s="255"/>
      <c r="AK21" s="255"/>
      <c r="AL21" s="255"/>
      <c r="AM21" s="255"/>
      <c r="AN21" s="255"/>
    </row>
    <row r="22" spans="1:40">
      <c r="A22" s="173" t="s">
        <v>13</v>
      </c>
      <c r="B22" s="173" t="s">
        <v>13</v>
      </c>
      <c r="C22" s="173" t="s">
        <v>13</v>
      </c>
      <c r="D22" s="173" t="s">
        <v>13</v>
      </c>
      <c r="E22" s="173" t="s">
        <v>13</v>
      </c>
      <c r="F22" s="173" t="s">
        <v>13</v>
      </c>
      <c r="G22" s="173" t="s">
        <v>13</v>
      </c>
      <c r="H22" s="173" t="s">
        <v>13</v>
      </c>
      <c r="I22" s="173"/>
      <c r="J22" s="255"/>
      <c r="K22" s="255"/>
      <c r="L22" s="173" t="s">
        <v>13</v>
      </c>
      <c r="M22" s="173" t="s">
        <v>13</v>
      </c>
      <c r="N22" s="173" t="s">
        <v>13</v>
      </c>
      <c r="O22" s="173" t="s">
        <v>13</v>
      </c>
      <c r="P22" s="173" t="s">
        <v>13</v>
      </c>
      <c r="Q22" s="173" t="s">
        <v>13</v>
      </c>
      <c r="R22" s="173" t="s">
        <v>13</v>
      </c>
      <c r="S22" s="173" t="s">
        <v>13</v>
      </c>
      <c r="T22" s="173" t="s">
        <v>13</v>
      </c>
      <c r="U22" s="173" t="s">
        <v>13</v>
      </c>
      <c r="V22" s="173" t="s">
        <v>13</v>
      </c>
      <c r="W22" s="35" t="s">
        <v>13</v>
      </c>
      <c r="X22" s="35" t="s">
        <v>13</v>
      </c>
      <c r="Y22" s="173" t="s">
        <v>13</v>
      </c>
      <c r="Z22" s="173" t="s">
        <v>13</v>
      </c>
      <c r="AA22" s="173" t="s">
        <v>13</v>
      </c>
      <c r="AB22" s="173" t="s">
        <v>13</v>
      </c>
      <c r="AC22" s="173"/>
      <c r="AD22" s="173"/>
      <c r="AE22" s="173"/>
      <c r="AF22" s="173"/>
      <c r="AG22" s="173"/>
      <c r="AH22" s="255"/>
      <c r="AI22" s="255"/>
      <c r="AJ22" s="255"/>
      <c r="AK22" s="255"/>
      <c r="AL22" s="255"/>
      <c r="AM22" s="255"/>
      <c r="AN22" s="255"/>
    </row>
    <row r="23" spans="1:40" ht="31.5" thickBot="1">
      <c r="A23" s="173" t="s">
        <v>13</v>
      </c>
      <c r="B23" s="173" t="s">
        <v>13</v>
      </c>
      <c r="C23" s="173" t="s">
        <v>13</v>
      </c>
      <c r="D23" s="176" t="s">
        <v>285</v>
      </c>
      <c r="E23" s="177" t="s">
        <v>119</v>
      </c>
      <c r="F23" s="178" t="s">
        <v>79</v>
      </c>
      <c r="G23" s="177" t="s">
        <v>263</v>
      </c>
      <c r="H23" s="177" t="s">
        <v>121</v>
      </c>
      <c r="I23" s="177" t="s">
        <v>82</v>
      </c>
      <c r="J23" s="177" t="s">
        <v>83</v>
      </c>
      <c r="K23" s="177" t="s">
        <v>447</v>
      </c>
      <c r="L23" s="179" t="s">
        <v>13</v>
      </c>
      <c r="M23" s="177" t="s">
        <v>264</v>
      </c>
      <c r="N23" s="177" t="s">
        <v>265</v>
      </c>
      <c r="O23" s="177" t="s">
        <v>266</v>
      </c>
      <c r="P23" s="177" t="s">
        <v>267</v>
      </c>
      <c r="Q23" s="177" t="s">
        <v>268</v>
      </c>
      <c r="R23" s="177" t="s">
        <v>269</v>
      </c>
      <c r="S23" s="177" t="s">
        <v>270</v>
      </c>
      <c r="T23" s="177" t="s">
        <v>271</v>
      </c>
      <c r="U23" s="177" t="s">
        <v>142</v>
      </c>
      <c r="V23" s="177" t="s">
        <v>143</v>
      </c>
      <c r="W23" s="60" t="s">
        <v>144</v>
      </c>
      <c r="X23" s="60" t="s">
        <v>145</v>
      </c>
      <c r="Y23" s="177" t="s">
        <v>171</v>
      </c>
      <c r="Z23" s="177" t="s">
        <v>172</v>
      </c>
      <c r="AA23" s="177" t="s">
        <v>173</v>
      </c>
      <c r="AB23" s="177" t="s">
        <v>286</v>
      </c>
      <c r="AC23" s="177" t="s">
        <v>272</v>
      </c>
      <c r="AD23" s="177" t="s">
        <v>151</v>
      </c>
      <c r="AE23" s="177" t="s">
        <v>152</v>
      </c>
      <c r="AF23" s="177" t="s">
        <v>153</v>
      </c>
      <c r="AG23" s="177" t="s">
        <v>273</v>
      </c>
      <c r="AH23" s="177" t="s">
        <v>155</v>
      </c>
      <c r="AI23" s="177" t="s">
        <v>156</v>
      </c>
      <c r="AJ23" s="177" t="s">
        <v>157</v>
      </c>
      <c r="AK23" s="177" t="s">
        <v>158</v>
      </c>
      <c r="AL23" s="177" t="s">
        <v>159</v>
      </c>
      <c r="AM23" s="177" t="s">
        <v>160</v>
      </c>
      <c r="AN23" s="177" t="s">
        <v>449</v>
      </c>
    </row>
    <row r="24" spans="1:40">
      <c r="A24" s="173" t="s">
        <v>13</v>
      </c>
      <c r="B24" s="173" t="s">
        <v>13</v>
      </c>
      <c r="C24" s="173" t="s">
        <v>13</v>
      </c>
      <c r="D24" s="175" t="s">
        <v>274</v>
      </c>
      <c r="E24" s="191">
        <v>208646</v>
      </c>
      <c r="F24" s="180">
        <v>252653</v>
      </c>
      <c r="G24" s="180">
        <v>274117</v>
      </c>
      <c r="H24" s="180">
        <v>262833</v>
      </c>
      <c r="I24" s="180">
        <v>282045</v>
      </c>
      <c r="J24" s="257">
        <v>330145</v>
      </c>
      <c r="K24" s="257">
        <v>399343</v>
      </c>
      <c r="L24" s="173" t="s">
        <v>13</v>
      </c>
      <c r="M24" s="180">
        <v>47373</v>
      </c>
      <c r="N24" s="180">
        <v>52043</v>
      </c>
      <c r="O24" s="180">
        <v>48271</v>
      </c>
      <c r="P24" s="180">
        <v>60959</v>
      </c>
      <c r="Q24" s="180">
        <v>56813</v>
      </c>
      <c r="R24" s="180">
        <v>66039</v>
      </c>
      <c r="S24" s="180">
        <v>56776</v>
      </c>
      <c r="T24" s="180">
        <v>73025</v>
      </c>
      <c r="U24" s="180">
        <v>62910</v>
      </c>
      <c r="V24" s="180">
        <v>67185</v>
      </c>
      <c r="W24" s="211">
        <v>64827</v>
      </c>
      <c r="X24" s="211">
        <v>79195</v>
      </c>
      <c r="Y24" s="180">
        <v>56517</v>
      </c>
      <c r="Z24" s="180">
        <v>55242</v>
      </c>
      <c r="AA24" s="180">
        <v>65763</v>
      </c>
      <c r="AB24" s="180">
        <v>85311</v>
      </c>
      <c r="AC24" s="180">
        <v>68593</v>
      </c>
      <c r="AD24" s="180">
        <v>72538</v>
      </c>
      <c r="AE24" s="180">
        <v>60838</v>
      </c>
      <c r="AF24" s="180">
        <v>80076</v>
      </c>
      <c r="AG24" s="180">
        <v>74269</v>
      </c>
      <c r="AH24" s="257">
        <v>71300</v>
      </c>
      <c r="AI24" s="257">
        <v>79329</v>
      </c>
      <c r="AJ24" s="257">
        <v>105247</v>
      </c>
      <c r="AK24" s="257">
        <v>95705</v>
      </c>
      <c r="AL24" s="257">
        <v>102152</v>
      </c>
      <c r="AM24" s="257">
        <v>92045</v>
      </c>
      <c r="AN24" s="257">
        <v>109441</v>
      </c>
    </row>
    <row r="25" spans="1:40">
      <c r="A25" s="173" t="s">
        <v>13</v>
      </c>
      <c r="B25" s="173" t="s">
        <v>13</v>
      </c>
      <c r="C25" s="173" t="s">
        <v>13</v>
      </c>
      <c r="D25" s="173" t="s">
        <v>275</v>
      </c>
      <c r="E25" s="184">
        <v>20979</v>
      </c>
      <c r="F25" s="184">
        <v>17104</v>
      </c>
      <c r="G25" s="184">
        <v>-10371</v>
      </c>
      <c r="H25" s="184">
        <v>2716</v>
      </c>
      <c r="I25" s="184">
        <v>-3125</v>
      </c>
      <c r="J25" s="236">
        <v>41796</v>
      </c>
      <c r="K25" s="236">
        <v>25184</v>
      </c>
      <c r="L25" s="173" t="s">
        <v>13</v>
      </c>
      <c r="M25" s="181">
        <v>5022</v>
      </c>
      <c r="N25" s="181">
        <v>7081</v>
      </c>
      <c r="O25" s="181">
        <v>4802</v>
      </c>
      <c r="P25" s="181">
        <v>4074</v>
      </c>
      <c r="Q25" s="181">
        <v>4058</v>
      </c>
      <c r="R25" s="181">
        <v>2071</v>
      </c>
      <c r="S25" s="181">
        <v>5268</v>
      </c>
      <c r="T25" s="181">
        <v>5707</v>
      </c>
      <c r="U25" s="181">
        <v>-7776</v>
      </c>
      <c r="V25" s="181">
        <v>-11385</v>
      </c>
      <c r="W25" s="212">
        <v>2221</v>
      </c>
      <c r="X25" s="212">
        <v>6569</v>
      </c>
      <c r="Y25" s="181">
        <v>12199</v>
      </c>
      <c r="Z25" s="181">
        <v>14208</v>
      </c>
      <c r="AA25" s="181">
        <v>-8929</v>
      </c>
      <c r="AB25" s="181">
        <v>-14762</v>
      </c>
      <c r="AC25" s="181">
        <v>-5829</v>
      </c>
      <c r="AD25" s="181">
        <v>-12168</v>
      </c>
      <c r="AE25" s="181">
        <v>4656</v>
      </c>
      <c r="AF25" s="181">
        <v>10216</v>
      </c>
      <c r="AG25" s="181">
        <v>8983</v>
      </c>
      <c r="AH25" s="258">
        <v>20007</v>
      </c>
      <c r="AI25" s="258">
        <v>8914</v>
      </c>
      <c r="AJ25" s="258">
        <v>3892</v>
      </c>
      <c r="AK25" s="258">
        <v>4492</v>
      </c>
      <c r="AL25" s="258">
        <v>9031</v>
      </c>
      <c r="AM25" s="258">
        <v>4955</v>
      </c>
      <c r="AN25" s="258">
        <v>-520</v>
      </c>
    </row>
    <row r="26" spans="1:40">
      <c r="A26" s="173"/>
      <c r="B26" s="173"/>
      <c r="C26" s="173"/>
      <c r="D26" s="173" t="s">
        <v>287</v>
      </c>
      <c r="E26" s="184"/>
      <c r="F26" s="184"/>
      <c r="G26" s="184"/>
      <c r="H26" s="184"/>
      <c r="I26" s="184"/>
      <c r="J26" s="182" t="s">
        <v>124</v>
      </c>
      <c r="K26" s="182" t="s">
        <v>124</v>
      </c>
      <c r="L26" s="173"/>
      <c r="M26" s="181"/>
      <c r="N26" s="181"/>
      <c r="O26" s="181"/>
      <c r="P26" s="181"/>
      <c r="Q26" s="181"/>
      <c r="R26" s="181"/>
      <c r="S26" s="181"/>
      <c r="T26" s="181"/>
      <c r="U26" s="181"/>
      <c r="V26" s="181"/>
      <c r="W26" s="212"/>
      <c r="X26" s="212"/>
      <c r="Y26" s="181"/>
      <c r="Z26" s="181"/>
      <c r="AA26" s="181"/>
      <c r="AB26" s="181"/>
      <c r="AC26" s="181"/>
      <c r="AD26" s="181"/>
      <c r="AE26" s="181"/>
      <c r="AF26" s="63" t="s">
        <v>124</v>
      </c>
      <c r="AG26" s="63" t="s">
        <v>124</v>
      </c>
      <c r="AH26" s="63" t="s">
        <v>124</v>
      </c>
      <c r="AI26" s="63" t="s">
        <v>124</v>
      </c>
      <c r="AJ26" s="63" t="s">
        <v>124</v>
      </c>
      <c r="AK26" s="63" t="s">
        <v>124</v>
      </c>
      <c r="AL26" s="64">
        <v>-4949</v>
      </c>
      <c r="AM26" s="258">
        <v>-1551</v>
      </c>
      <c r="AN26" s="63" t="s">
        <v>124</v>
      </c>
    </row>
    <row r="27" spans="1:40">
      <c r="A27" s="173"/>
      <c r="B27" s="173"/>
      <c r="C27" s="173"/>
      <c r="D27" s="173" t="s">
        <v>476</v>
      </c>
      <c r="E27" s="184"/>
      <c r="F27" s="184"/>
      <c r="G27" s="184"/>
      <c r="H27" s="184"/>
      <c r="I27" s="184"/>
      <c r="J27" s="182" t="s">
        <v>124</v>
      </c>
      <c r="K27" s="236">
        <v>-7182</v>
      </c>
      <c r="L27" s="173"/>
      <c r="M27" s="181"/>
      <c r="N27" s="181"/>
      <c r="O27" s="181"/>
      <c r="P27" s="181"/>
      <c r="Q27" s="181"/>
      <c r="R27" s="181"/>
      <c r="S27" s="181"/>
      <c r="T27" s="181"/>
      <c r="U27" s="181"/>
      <c r="V27" s="181"/>
      <c r="W27" s="212"/>
      <c r="X27" s="212"/>
      <c r="Y27" s="181"/>
      <c r="Z27" s="181"/>
      <c r="AA27" s="181"/>
      <c r="AB27" s="181"/>
      <c r="AC27" s="181"/>
      <c r="AD27" s="181"/>
      <c r="AE27" s="181"/>
      <c r="AF27" s="63"/>
      <c r="AG27" s="63" t="s">
        <v>124</v>
      </c>
      <c r="AH27" s="63" t="s">
        <v>124</v>
      </c>
      <c r="AI27" s="63" t="s">
        <v>124</v>
      </c>
      <c r="AJ27" s="63" t="s">
        <v>124</v>
      </c>
      <c r="AK27" s="63" t="s">
        <v>124</v>
      </c>
      <c r="AL27" s="63" t="s">
        <v>124</v>
      </c>
      <c r="AM27" s="63" t="s">
        <v>124</v>
      </c>
      <c r="AN27" s="258">
        <v>1369</v>
      </c>
    </row>
    <row r="28" spans="1:40">
      <c r="A28" s="173" t="s">
        <v>13</v>
      </c>
      <c r="B28" s="173" t="s">
        <v>13</v>
      </c>
      <c r="C28" s="173" t="s">
        <v>13</v>
      </c>
      <c r="D28" s="173" t="s">
        <v>276</v>
      </c>
      <c r="E28" s="184">
        <v>10500</v>
      </c>
      <c r="F28" s="184">
        <v>-5800</v>
      </c>
      <c r="G28" s="184">
        <v>4135</v>
      </c>
      <c r="H28" s="184">
        <v>20405</v>
      </c>
      <c r="I28" s="184">
        <v>15160</v>
      </c>
      <c r="J28" s="236">
        <v>4719</v>
      </c>
      <c r="K28" s="236">
        <v>-6261</v>
      </c>
      <c r="L28" s="173" t="s">
        <v>13</v>
      </c>
      <c r="M28" s="181">
        <v>4150</v>
      </c>
      <c r="N28" s="181">
        <v>3550</v>
      </c>
      <c r="O28" s="181">
        <v>1540</v>
      </c>
      <c r="P28" s="181">
        <v>1260</v>
      </c>
      <c r="Q28" s="173">
        <v>-735</v>
      </c>
      <c r="R28" s="181">
        <v>-3385</v>
      </c>
      <c r="S28" s="173">
        <v>-215</v>
      </c>
      <c r="T28" s="181">
        <v>-1465</v>
      </c>
      <c r="U28" s="173">
        <v>320</v>
      </c>
      <c r="V28" s="181">
        <v>2070</v>
      </c>
      <c r="W28" s="35">
        <v>410</v>
      </c>
      <c r="X28" s="212">
        <v>1335</v>
      </c>
      <c r="Y28" s="181">
        <v>3970</v>
      </c>
      <c r="Z28" s="181">
        <v>5024</v>
      </c>
      <c r="AA28" s="181">
        <v>4112</v>
      </c>
      <c r="AB28" s="181">
        <v>7299</v>
      </c>
      <c r="AC28" s="181">
        <v>4068</v>
      </c>
      <c r="AD28" s="181">
        <v>5530</v>
      </c>
      <c r="AE28" s="181">
        <v>2776</v>
      </c>
      <c r="AF28" s="181">
        <v>2786</v>
      </c>
      <c r="AG28" s="181">
        <v>4179</v>
      </c>
      <c r="AH28" s="258">
        <v>-491</v>
      </c>
      <c r="AI28" s="258">
        <v>-417</v>
      </c>
      <c r="AJ28" s="258">
        <v>1448</v>
      </c>
      <c r="AK28" s="258">
        <v>-1906</v>
      </c>
      <c r="AL28" s="258">
        <v>-2116</v>
      </c>
      <c r="AM28" s="258">
        <v>-1564</v>
      </c>
      <c r="AN28" s="258">
        <v>-675</v>
      </c>
    </row>
    <row r="29" spans="1:40">
      <c r="A29" s="173" t="s">
        <v>13</v>
      </c>
      <c r="B29" s="173" t="s">
        <v>13</v>
      </c>
      <c r="C29" s="173" t="s">
        <v>13</v>
      </c>
      <c r="D29" s="173" t="s">
        <v>278</v>
      </c>
      <c r="E29" s="182" t="s">
        <v>124</v>
      </c>
      <c r="F29" s="183">
        <v>-922</v>
      </c>
      <c r="G29" s="183">
        <v>125</v>
      </c>
      <c r="H29" s="183">
        <v>-488</v>
      </c>
      <c r="I29" s="183">
        <v>-569</v>
      </c>
      <c r="J29" s="238">
        <v>-80</v>
      </c>
      <c r="K29" s="238">
        <v>-150</v>
      </c>
      <c r="L29" s="173" t="s">
        <v>13</v>
      </c>
      <c r="M29" s="182" t="s">
        <v>124</v>
      </c>
      <c r="N29" s="182" t="s">
        <v>124</v>
      </c>
      <c r="O29" s="182" t="s">
        <v>124</v>
      </c>
      <c r="P29" s="182" t="s">
        <v>124</v>
      </c>
      <c r="Q29" s="173">
        <v>275</v>
      </c>
      <c r="R29" s="173">
        <v>595</v>
      </c>
      <c r="S29" s="173">
        <v>430</v>
      </c>
      <c r="T29" s="181">
        <v>-2222</v>
      </c>
      <c r="U29" s="173">
        <v>365</v>
      </c>
      <c r="V29" s="173">
        <v>-280</v>
      </c>
      <c r="W29" s="35">
        <v>-15</v>
      </c>
      <c r="X29" s="35">
        <v>55</v>
      </c>
      <c r="Y29" s="173">
        <v>-294</v>
      </c>
      <c r="Z29" s="173">
        <v>67</v>
      </c>
      <c r="AA29" s="173">
        <v>-23</v>
      </c>
      <c r="AB29" s="173">
        <v>-238</v>
      </c>
      <c r="AC29" s="173">
        <v>49</v>
      </c>
      <c r="AD29" s="173">
        <v>-267</v>
      </c>
      <c r="AE29" s="183">
        <v>-182</v>
      </c>
      <c r="AF29" s="183">
        <v>-169</v>
      </c>
      <c r="AG29" s="173">
        <v>-404</v>
      </c>
      <c r="AH29" s="259">
        <v>274</v>
      </c>
      <c r="AI29" s="259">
        <v>22</v>
      </c>
      <c r="AJ29" s="259">
        <v>28</v>
      </c>
      <c r="AK29" s="259">
        <v>256</v>
      </c>
      <c r="AL29" s="259">
        <v>-198</v>
      </c>
      <c r="AM29" s="258">
        <v>-88</v>
      </c>
      <c r="AN29" s="258">
        <v>-120</v>
      </c>
    </row>
    <row r="30" spans="1:40">
      <c r="A30" s="173" t="s">
        <v>13</v>
      </c>
      <c r="B30" s="173" t="s">
        <v>13</v>
      </c>
      <c r="C30" s="173" t="s">
        <v>13</v>
      </c>
      <c r="D30" s="173" t="s">
        <v>279</v>
      </c>
      <c r="E30" s="184">
        <v>6830</v>
      </c>
      <c r="F30" s="184">
        <v>8530</v>
      </c>
      <c r="G30" s="184">
        <v>-6660</v>
      </c>
      <c r="H30" s="184">
        <v>-9732</v>
      </c>
      <c r="I30" s="184">
        <v>21802</v>
      </c>
      <c r="J30" s="236">
        <v>14276</v>
      </c>
      <c r="K30" s="236">
        <v>-6122</v>
      </c>
      <c r="L30" s="173" t="s">
        <v>13</v>
      </c>
      <c r="M30" s="173">
        <v>-480</v>
      </c>
      <c r="N30" s="181">
        <v>1535</v>
      </c>
      <c r="O30" s="181">
        <v>3130</v>
      </c>
      <c r="P30" s="181">
        <v>2645</v>
      </c>
      <c r="Q30" s="181">
        <v>2355</v>
      </c>
      <c r="R30" s="181">
        <v>1635</v>
      </c>
      <c r="S30" s="181">
        <v>1850</v>
      </c>
      <c r="T30" s="181">
        <v>2690</v>
      </c>
      <c r="U30" s="181">
        <v>1260</v>
      </c>
      <c r="V30" s="173">
        <v>-190</v>
      </c>
      <c r="W30" s="212">
        <v>-3260</v>
      </c>
      <c r="X30" s="212">
        <v>-4470</v>
      </c>
      <c r="Y30" s="181">
        <v>-4740</v>
      </c>
      <c r="Z30" s="181">
        <v>-4250</v>
      </c>
      <c r="AA30" s="173">
        <v>-467</v>
      </c>
      <c r="AB30" s="173">
        <v>-275</v>
      </c>
      <c r="AC30" s="181">
        <v>3983</v>
      </c>
      <c r="AD30" s="181">
        <v>3977</v>
      </c>
      <c r="AE30" s="181">
        <v>5952</v>
      </c>
      <c r="AF30" s="181">
        <v>7890</v>
      </c>
      <c r="AG30" s="181">
        <v>5257</v>
      </c>
      <c r="AH30" s="258">
        <v>5096</v>
      </c>
      <c r="AI30" s="258">
        <v>2255</v>
      </c>
      <c r="AJ30" s="258">
        <v>1668</v>
      </c>
      <c r="AK30" s="258">
        <v>-2098</v>
      </c>
      <c r="AL30" s="258">
        <v>-176</v>
      </c>
      <c r="AM30" s="258">
        <v>-1804</v>
      </c>
      <c r="AN30" s="258">
        <v>-2044</v>
      </c>
    </row>
    <row r="31" spans="1:40" ht="16.5">
      <c r="A31" s="173"/>
      <c r="B31" s="173"/>
      <c r="C31" s="173"/>
      <c r="D31" s="173" t="s">
        <v>288</v>
      </c>
      <c r="E31" s="184" t="s">
        <v>124</v>
      </c>
      <c r="F31" s="184" t="s">
        <v>124</v>
      </c>
      <c r="G31" s="184" t="s">
        <v>124</v>
      </c>
      <c r="H31" s="184" t="s">
        <v>124</v>
      </c>
      <c r="I31" s="184">
        <v>17696</v>
      </c>
      <c r="J31" s="236">
        <v>1801</v>
      </c>
      <c r="K31" s="236">
        <v>-8832</v>
      </c>
      <c r="L31" s="173"/>
      <c r="M31" s="183" t="s">
        <v>124</v>
      </c>
      <c r="N31" s="183" t="s">
        <v>124</v>
      </c>
      <c r="O31" s="183" t="s">
        <v>124</v>
      </c>
      <c r="P31" s="183" t="s">
        <v>124</v>
      </c>
      <c r="Q31" s="183" t="s">
        <v>124</v>
      </c>
      <c r="R31" s="183" t="s">
        <v>124</v>
      </c>
      <c r="S31" s="183" t="s">
        <v>124</v>
      </c>
      <c r="T31" s="183" t="s">
        <v>124</v>
      </c>
      <c r="U31" s="183" t="s">
        <v>124</v>
      </c>
      <c r="V31" s="183" t="s">
        <v>124</v>
      </c>
      <c r="W31" s="57" t="s">
        <v>124</v>
      </c>
      <c r="X31" s="57" t="s">
        <v>124</v>
      </c>
      <c r="Y31" s="183" t="s">
        <v>124</v>
      </c>
      <c r="Z31" s="183" t="s">
        <v>124</v>
      </c>
      <c r="AA31" s="183" t="s">
        <v>124</v>
      </c>
      <c r="AB31" s="183" t="s">
        <v>124</v>
      </c>
      <c r="AC31" s="181">
        <v>3529</v>
      </c>
      <c r="AD31" s="181">
        <v>2084</v>
      </c>
      <c r="AE31" s="181">
        <v>6437</v>
      </c>
      <c r="AF31" s="181">
        <v>5646</v>
      </c>
      <c r="AG31" s="181">
        <v>2674</v>
      </c>
      <c r="AH31" s="258">
        <v>3739</v>
      </c>
      <c r="AI31" s="258">
        <v>-244</v>
      </c>
      <c r="AJ31" s="258">
        <v>-4368</v>
      </c>
      <c r="AK31" s="258">
        <v>-4339</v>
      </c>
      <c r="AL31" s="258">
        <v>-3162</v>
      </c>
      <c r="AM31" s="258">
        <v>-1252</v>
      </c>
      <c r="AN31" s="258">
        <v>-129</v>
      </c>
    </row>
    <row r="32" spans="1:40" ht="16.5">
      <c r="A32" s="173" t="s">
        <v>13</v>
      </c>
      <c r="B32" s="173" t="s">
        <v>13</v>
      </c>
      <c r="C32" s="173" t="s">
        <v>13</v>
      </c>
      <c r="D32" s="185" t="s">
        <v>289</v>
      </c>
      <c r="E32" s="187">
        <v>5698</v>
      </c>
      <c r="F32" s="187">
        <v>2552</v>
      </c>
      <c r="G32" s="187">
        <v>1487</v>
      </c>
      <c r="H32" s="187">
        <v>6311</v>
      </c>
      <c r="I32" s="187">
        <v>-2864</v>
      </c>
      <c r="J32" s="261">
        <v>6686</v>
      </c>
      <c r="K32" s="261">
        <v>4254</v>
      </c>
      <c r="L32" s="173" t="s">
        <v>13</v>
      </c>
      <c r="M32" s="185">
        <v>748</v>
      </c>
      <c r="N32" s="186">
        <v>1830</v>
      </c>
      <c r="O32" s="185">
        <v>-967</v>
      </c>
      <c r="P32" s="186">
        <v>4087</v>
      </c>
      <c r="Q32" s="185">
        <v>144</v>
      </c>
      <c r="R32" s="185">
        <v>230</v>
      </c>
      <c r="S32" s="185">
        <v>718</v>
      </c>
      <c r="T32" s="186">
        <v>1460</v>
      </c>
      <c r="U32" s="185">
        <v>-562</v>
      </c>
      <c r="V32" s="186">
        <v>-2158</v>
      </c>
      <c r="W32" s="216">
        <v>1580</v>
      </c>
      <c r="X32" s="216">
        <v>2627</v>
      </c>
      <c r="Y32" s="185">
        <v>941</v>
      </c>
      <c r="Z32" s="186">
        <v>2247</v>
      </c>
      <c r="AA32" s="185">
        <v>382</v>
      </c>
      <c r="AB32" s="186">
        <v>2741</v>
      </c>
      <c r="AC32" s="186">
        <v>-124</v>
      </c>
      <c r="AD32" s="186">
        <v>-394</v>
      </c>
      <c r="AE32" s="186">
        <v>-1147</v>
      </c>
      <c r="AF32" s="186">
        <v>-1199</v>
      </c>
      <c r="AG32" s="186">
        <v>747</v>
      </c>
      <c r="AH32" s="260">
        <v>2227</v>
      </c>
      <c r="AI32" s="260">
        <f>2188-45</f>
        <v>2143</v>
      </c>
      <c r="AJ32" s="260">
        <f>1524+2</f>
        <v>1526</v>
      </c>
      <c r="AK32" s="260">
        <v>1768</v>
      </c>
      <c r="AL32" s="260">
        <v>872</v>
      </c>
      <c r="AM32" s="260">
        <v>2042</v>
      </c>
      <c r="AN32" s="260">
        <v>4797</v>
      </c>
    </row>
    <row r="33" spans="1:40">
      <c r="A33" s="175" t="s">
        <v>13</v>
      </c>
      <c r="B33" s="175" t="s">
        <v>13</v>
      </c>
      <c r="C33" s="175" t="s">
        <v>13</v>
      </c>
      <c r="D33" s="175" t="s">
        <v>284</v>
      </c>
      <c r="E33" s="180">
        <v>252653</v>
      </c>
      <c r="F33" s="180">
        <v>274117</v>
      </c>
      <c r="G33" s="180">
        <v>262833</v>
      </c>
      <c r="H33" s="180">
        <v>282045</v>
      </c>
      <c r="I33" s="180">
        <v>330145</v>
      </c>
      <c r="J33" s="257">
        <v>399343</v>
      </c>
      <c r="K33" s="257">
        <v>400234</v>
      </c>
      <c r="L33" s="175" t="s">
        <v>13</v>
      </c>
      <c r="M33" s="180">
        <v>56813</v>
      </c>
      <c r="N33" s="180">
        <v>66039</v>
      </c>
      <c r="O33" s="180">
        <v>56776</v>
      </c>
      <c r="P33" s="180">
        <v>73025</v>
      </c>
      <c r="Q33" s="180">
        <v>62910</v>
      </c>
      <c r="R33" s="180">
        <v>67185</v>
      </c>
      <c r="S33" s="180">
        <v>64827</v>
      </c>
      <c r="T33" s="180">
        <v>79195</v>
      </c>
      <c r="U33" s="180">
        <v>56517</v>
      </c>
      <c r="V33" s="180">
        <v>55242</v>
      </c>
      <c r="W33" s="211">
        <v>65763</v>
      </c>
      <c r="X33" s="211">
        <v>85311</v>
      </c>
      <c r="Y33" s="180">
        <v>68593</v>
      </c>
      <c r="Z33" s="180">
        <v>72538</v>
      </c>
      <c r="AA33" s="180">
        <v>60838</v>
      </c>
      <c r="AB33" s="180">
        <v>80076</v>
      </c>
      <c r="AC33" s="180">
        <v>74269</v>
      </c>
      <c r="AD33" s="180">
        <v>71300</v>
      </c>
      <c r="AE33" s="180">
        <v>79329</v>
      </c>
      <c r="AF33" s="180">
        <v>105247</v>
      </c>
      <c r="AG33" s="180">
        <v>95705</v>
      </c>
      <c r="AH33" s="257">
        <v>102152</v>
      </c>
      <c r="AI33" s="257">
        <f>92047-2</f>
        <v>92045</v>
      </c>
      <c r="AJ33" s="257">
        <f>109439+2</f>
        <v>109441</v>
      </c>
      <c r="AK33" s="257">
        <v>93878</v>
      </c>
      <c r="AL33" s="257">
        <v>101454</v>
      </c>
      <c r="AM33" s="257">
        <v>92783</v>
      </c>
      <c r="AN33" s="257">
        <v>112119</v>
      </c>
    </row>
    <row r="34" spans="1:40">
      <c r="A34" s="173" t="s">
        <v>13</v>
      </c>
      <c r="B34" s="173" t="s">
        <v>13</v>
      </c>
      <c r="C34" s="173" t="s">
        <v>13</v>
      </c>
      <c r="D34" s="173" t="s">
        <v>13</v>
      </c>
      <c r="E34" s="173" t="s">
        <v>13</v>
      </c>
      <c r="F34" s="173" t="s">
        <v>13</v>
      </c>
      <c r="G34" s="173" t="s">
        <v>13</v>
      </c>
      <c r="H34" s="173" t="s">
        <v>13</v>
      </c>
      <c r="I34" s="173" t="s">
        <v>13</v>
      </c>
      <c r="J34" s="173" t="s">
        <v>13</v>
      </c>
      <c r="K34" s="173" t="s">
        <v>13</v>
      </c>
      <c r="L34" s="173" t="s">
        <v>13</v>
      </c>
      <c r="M34" s="173" t="s">
        <v>13</v>
      </c>
      <c r="N34" s="173" t="s">
        <v>13</v>
      </c>
      <c r="O34" s="173" t="s">
        <v>13</v>
      </c>
      <c r="P34" s="173" t="s">
        <v>13</v>
      </c>
      <c r="Q34" s="173" t="s">
        <v>13</v>
      </c>
      <c r="R34" s="173" t="s">
        <v>13</v>
      </c>
      <c r="S34" s="173" t="s">
        <v>13</v>
      </c>
      <c r="T34" s="173" t="s">
        <v>13</v>
      </c>
      <c r="U34" s="173" t="s">
        <v>13</v>
      </c>
      <c r="V34" s="173" t="s">
        <v>13</v>
      </c>
      <c r="W34" s="35" t="s">
        <v>13</v>
      </c>
      <c r="X34" s="35" t="s">
        <v>13</v>
      </c>
      <c r="Y34" s="173" t="s">
        <v>13</v>
      </c>
      <c r="Z34" s="173" t="s">
        <v>13</v>
      </c>
      <c r="AA34" s="173" t="s">
        <v>13</v>
      </c>
      <c r="AB34" s="173" t="s">
        <v>13</v>
      </c>
      <c r="AC34" s="173"/>
      <c r="AD34" s="173"/>
      <c r="AG34" s="173"/>
      <c r="AH34" s="255"/>
      <c r="AI34" s="255"/>
      <c r="AJ34" s="255"/>
      <c r="AK34" s="288"/>
      <c r="AL34" s="288"/>
      <c r="AM34" s="255"/>
      <c r="AN34" s="255"/>
    </row>
    <row r="35" spans="1:40">
      <c r="A35" s="173" t="s">
        <v>13</v>
      </c>
      <c r="B35" s="173" t="s">
        <v>13</v>
      </c>
      <c r="C35" s="173" t="s">
        <v>13</v>
      </c>
      <c r="D35" s="173" t="s">
        <v>13</v>
      </c>
      <c r="E35" s="173" t="s">
        <v>13</v>
      </c>
      <c r="F35" s="173" t="s">
        <v>13</v>
      </c>
      <c r="G35" s="173" t="s">
        <v>13</v>
      </c>
      <c r="H35" s="173" t="s">
        <v>13</v>
      </c>
      <c r="I35" s="173" t="s">
        <v>13</v>
      </c>
      <c r="J35" s="173" t="s">
        <v>13</v>
      </c>
      <c r="K35" s="173" t="s">
        <v>13</v>
      </c>
      <c r="L35" s="173" t="s">
        <v>13</v>
      </c>
      <c r="M35" s="173" t="s">
        <v>13</v>
      </c>
      <c r="N35" s="173" t="s">
        <v>13</v>
      </c>
      <c r="O35" s="173" t="s">
        <v>13</v>
      </c>
      <c r="P35" s="173" t="s">
        <v>13</v>
      </c>
      <c r="Q35" s="173" t="s">
        <v>13</v>
      </c>
      <c r="R35" s="173" t="s">
        <v>13</v>
      </c>
      <c r="S35" s="173" t="s">
        <v>13</v>
      </c>
      <c r="T35" s="173" t="s">
        <v>13</v>
      </c>
      <c r="U35" s="173" t="s">
        <v>13</v>
      </c>
      <c r="V35" s="173" t="s">
        <v>13</v>
      </c>
      <c r="W35" s="35" t="s">
        <v>13</v>
      </c>
      <c r="X35" s="35" t="s">
        <v>13</v>
      </c>
      <c r="Y35" s="173" t="s">
        <v>13</v>
      </c>
      <c r="Z35" s="173" t="s">
        <v>13</v>
      </c>
      <c r="AA35" s="173" t="s">
        <v>13</v>
      </c>
      <c r="AB35" s="173" t="s">
        <v>13</v>
      </c>
      <c r="AC35" s="173"/>
      <c r="AD35" s="173"/>
      <c r="AG35" s="173"/>
      <c r="AH35" s="255"/>
      <c r="AI35" s="255"/>
      <c r="AJ35" s="255"/>
      <c r="AK35" s="288"/>
      <c r="AL35" s="288"/>
      <c r="AM35" s="255"/>
      <c r="AN35" s="255"/>
    </row>
    <row r="36" spans="1:40" ht="30.75" customHeight="1">
      <c r="A36" s="173" t="s">
        <v>13</v>
      </c>
      <c r="B36" s="173" t="s">
        <v>13</v>
      </c>
      <c r="C36" s="173" t="s">
        <v>13</v>
      </c>
      <c r="D36" s="160" t="s">
        <v>290</v>
      </c>
      <c r="E36" s="173" t="s">
        <v>13</v>
      </c>
      <c r="F36" s="173" t="s">
        <v>13</v>
      </c>
      <c r="G36" s="173" t="s">
        <v>13</v>
      </c>
      <c r="H36" s="173" t="s">
        <v>13</v>
      </c>
      <c r="I36" s="173" t="s">
        <v>13</v>
      </c>
      <c r="J36" s="173" t="s">
        <v>13</v>
      </c>
      <c r="K36" s="173" t="s">
        <v>13</v>
      </c>
      <c r="L36" s="173" t="s">
        <v>13</v>
      </c>
      <c r="M36" s="173" t="s">
        <v>13</v>
      </c>
      <c r="N36" s="173" t="s">
        <v>13</v>
      </c>
      <c r="O36" s="173" t="s">
        <v>13</v>
      </c>
      <c r="P36" s="173" t="s">
        <v>13</v>
      </c>
      <c r="Q36" s="173" t="s">
        <v>13</v>
      </c>
      <c r="R36" s="173" t="s">
        <v>13</v>
      </c>
      <c r="S36" s="173" t="s">
        <v>13</v>
      </c>
      <c r="T36" s="173" t="s">
        <v>13</v>
      </c>
      <c r="U36" s="173" t="s">
        <v>13</v>
      </c>
      <c r="V36" s="173" t="s">
        <v>13</v>
      </c>
      <c r="W36" s="35" t="s">
        <v>13</v>
      </c>
      <c r="X36" s="35" t="s">
        <v>13</v>
      </c>
      <c r="Y36" s="173" t="s">
        <v>13</v>
      </c>
      <c r="Z36" s="173" t="s">
        <v>13</v>
      </c>
      <c r="AA36" s="173" t="s">
        <v>13</v>
      </c>
      <c r="AB36" s="173" t="s">
        <v>13</v>
      </c>
      <c r="AC36" s="173"/>
      <c r="AD36" s="173"/>
      <c r="AG36" s="173"/>
      <c r="AH36" s="255"/>
      <c r="AI36" s="255"/>
      <c r="AJ36" s="255"/>
      <c r="AK36" s="255"/>
      <c r="AL36" s="255"/>
      <c r="AM36" s="255"/>
      <c r="AN36" s="255"/>
    </row>
    <row r="37" spans="1:40" ht="41">
      <c r="A37" s="173" t="s">
        <v>13</v>
      </c>
      <c r="B37" s="173" t="s">
        <v>13</v>
      </c>
      <c r="C37" s="173" t="s">
        <v>13</v>
      </c>
      <c r="D37" s="160" t="s">
        <v>291</v>
      </c>
      <c r="E37" s="173" t="s">
        <v>13</v>
      </c>
      <c r="F37" s="173" t="s">
        <v>13</v>
      </c>
      <c r="G37" s="173" t="s">
        <v>13</v>
      </c>
      <c r="H37" s="173" t="s">
        <v>13</v>
      </c>
      <c r="I37" s="173" t="s">
        <v>13</v>
      </c>
      <c r="J37" s="173" t="s">
        <v>13</v>
      </c>
      <c r="K37" s="173" t="s">
        <v>13</v>
      </c>
      <c r="L37" s="173" t="s">
        <v>13</v>
      </c>
      <c r="M37" s="173" t="s">
        <v>13</v>
      </c>
      <c r="N37" s="173" t="s">
        <v>13</v>
      </c>
      <c r="O37" s="173" t="s">
        <v>13</v>
      </c>
      <c r="P37" s="173" t="s">
        <v>13</v>
      </c>
      <c r="Q37" s="173" t="s">
        <v>13</v>
      </c>
      <c r="R37" s="173" t="s">
        <v>13</v>
      </c>
      <c r="S37" s="173" t="s">
        <v>13</v>
      </c>
      <c r="T37" s="173" t="s">
        <v>13</v>
      </c>
      <c r="U37" s="173" t="s">
        <v>13</v>
      </c>
      <c r="V37" s="173" t="s">
        <v>13</v>
      </c>
      <c r="W37" s="35" t="s">
        <v>13</v>
      </c>
      <c r="X37" s="35" t="s">
        <v>13</v>
      </c>
      <c r="Y37" s="173" t="s">
        <v>13</v>
      </c>
      <c r="Z37" s="173" t="s">
        <v>13</v>
      </c>
      <c r="AA37" s="173" t="s">
        <v>13</v>
      </c>
      <c r="AB37" s="173" t="s">
        <v>13</v>
      </c>
      <c r="AC37" s="173"/>
      <c r="AD37" s="173"/>
      <c r="AG37" s="173"/>
      <c r="AH37" s="255"/>
      <c r="AI37" s="255"/>
      <c r="AJ37" s="255"/>
      <c r="AK37" s="255"/>
      <c r="AL37" s="255"/>
      <c r="AM37" s="255"/>
      <c r="AN37" s="255"/>
    </row>
    <row r="38" spans="1:40" ht="30" customHeight="1">
      <c r="A38" s="173" t="s">
        <v>13</v>
      </c>
      <c r="B38" s="173" t="s">
        <v>13</v>
      </c>
      <c r="C38" s="173" t="s">
        <v>13</v>
      </c>
      <c r="D38" s="160" t="s">
        <v>292</v>
      </c>
      <c r="E38" s="173" t="s">
        <v>13</v>
      </c>
      <c r="F38" s="173" t="s">
        <v>13</v>
      </c>
      <c r="G38" s="173" t="s">
        <v>13</v>
      </c>
      <c r="H38" s="173" t="s">
        <v>13</v>
      </c>
      <c r="I38" s="173" t="s">
        <v>13</v>
      </c>
      <c r="J38" s="173" t="s">
        <v>13</v>
      </c>
      <c r="K38" s="173" t="s">
        <v>13</v>
      </c>
      <c r="L38" s="173" t="s">
        <v>13</v>
      </c>
      <c r="M38" s="173" t="s">
        <v>13</v>
      </c>
      <c r="N38" s="173" t="s">
        <v>13</v>
      </c>
      <c r="O38" s="173" t="s">
        <v>13</v>
      </c>
      <c r="P38" s="173" t="s">
        <v>13</v>
      </c>
      <c r="Q38" s="173" t="s">
        <v>13</v>
      </c>
      <c r="R38" s="173" t="s">
        <v>13</v>
      </c>
      <c r="S38" s="173" t="s">
        <v>13</v>
      </c>
      <c r="T38" s="173" t="s">
        <v>13</v>
      </c>
      <c r="U38" s="173" t="s">
        <v>13</v>
      </c>
      <c r="V38" s="173" t="s">
        <v>13</v>
      </c>
      <c r="W38" s="35" t="s">
        <v>13</v>
      </c>
      <c r="X38" s="35" t="s">
        <v>13</v>
      </c>
      <c r="Y38" s="173" t="s">
        <v>13</v>
      </c>
      <c r="Z38" s="173" t="s">
        <v>13</v>
      </c>
    </row>
    <row r="39" spans="1:40" ht="15">
      <c r="A39" s="173"/>
      <c r="B39" s="173"/>
      <c r="C39" s="173"/>
      <c r="D39" s="194" t="s">
        <v>293</v>
      </c>
      <c r="E39" s="173"/>
      <c r="F39" s="173"/>
      <c r="G39" s="173"/>
      <c r="H39" s="173"/>
      <c r="I39" s="173"/>
      <c r="J39" s="173"/>
      <c r="K39" s="173"/>
      <c r="L39" s="173"/>
      <c r="M39" s="173"/>
      <c r="N39" s="173"/>
      <c r="O39" s="173"/>
      <c r="P39" s="173"/>
      <c r="Q39" s="173"/>
      <c r="R39" s="173"/>
      <c r="S39" s="173"/>
      <c r="T39" s="173"/>
      <c r="U39" s="173"/>
      <c r="V39" s="173"/>
      <c r="W39" s="35"/>
      <c r="X39" s="35"/>
      <c r="Y39" s="173"/>
      <c r="Z39" s="173"/>
    </row>
    <row r="40" spans="1:40" ht="15.75" customHeight="1">
      <c r="D40" s="160" t="s">
        <v>294</v>
      </c>
    </row>
    <row r="41" spans="1:40" ht="18" customHeight="1">
      <c r="D41" s="160"/>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62"/>
  <sheetViews>
    <sheetView showGridLines="0" topLeftCell="C1" zoomScaleNormal="100" workbookViewId="0">
      <pane xSplit="2" ySplit="9" topLeftCell="AH10" activePane="bottomRight" state="frozen"/>
      <selection pane="topRight" activeCell="I22" sqref="I22"/>
      <selection pane="bottomLeft" activeCell="I22" sqref="I22"/>
      <selection pane="bottomRight" activeCell="D1" sqref="D1"/>
    </sheetView>
  </sheetViews>
  <sheetFormatPr defaultColWidth="8.81640625" defaultRowHeight="14.5"/>
  <cols>
    <col min="4" max="4" width="68.7265625" bestFit="1" customWidth="1"/>
    <col min="5" max="5" width="10.7265625" style="14" bestFit="1" customWidth="1"/>
    <col min="6" max="7" width="8.7265625" style="14" customWidth="1"/>
    <col min="8" max="12" width="10.7265625" style="14" bestFit="1" customWidth="1"/>
    <col min="13" max="13" width="10" style="10" customWidth="1"/>
    <col min="14" max="14" width="10.7265625" style="14" bestFit="1" customWidth="1"/>
    <col min="15" max="17" width="10.7265625" style="15" bestFit="1" customWidth="1"/>
    <col min="18" max="19" width="5" style="14" customWidth="1"/>
    <col min="20" max="21" width="9.7265625" style="14" bestFit="1" customWidth="1"/>
    <col min="22" max="22" width="8.26953125" style="10" customWidth="1"/>
    <col min="23" max="23" width="10.54296875" style="10" customWidth="1"/>
    <col min="24" max="26" width="9.7265625" style="14" bestFit="1" customWidth="1"/>
    <col min="27" max="27" width="8.453125" style="14" customWidth="1"/>
    <col min="28" max="30" width="9.7265625" bestFit="1" customWidth="1"/>
    <col min="31" max="31" width="10" bestFit="1" customWidth="1"/>
    <col min="32" max="32" width="9.7265625" bestFit="1" customWidth="1"/>
    <col min="33" max="39" width="9.7265625" style="161" bestFit="1" customWidth="1"/>
  </cols>
  <sheetData>
    <row r="1" spans="1:39">
      <c r="A1" s="35"/>
      <c r="B1" s="35"/>
      <c r="C1" s="35"/>
      <c r="D1" s="34" t="s">
        <v>8</v>
      </c>
      <c r="E1" s="57"/>
      <c r="F1" s="57"/>
      <c r="G1" s="57"/>
      <c r="H1" s="57"/>
      <c r="I1" s="57"/>
      <c r="J1" s="57"/>
      <c r="K1" s="57"/>
      <c r="L1" s="57"/>
      <c r="M1" s="63"/>
      <c r="N1" s="57"/>
      <c r="O1" s="198"/>
      <c r="P1" s="198"/>
      <c r="Q1" s="198"/>
      <c r="R1" s="57"/>
      <c r="S1" s="57"/>
      <c r="T1" s="57"/>
      <c r="U1" s="57"/>
      <c r="V1" s="63"/>
      <c r="W1" s="63"/>
      <c r="X1" s="57"/>
      <c r="Y1" s="57"/>
      <c r="Z1" s="57"/>
      <c r="AA1" s="57"/>
    </row>
    <row r="2" spans="1:39">
      <c r="A2" s="35"/>
      <c r="B2" s="35"/>
      <c r="C2" s="35"/>
      <c r="D2" s="35"/>
      <c r="E2" s="57"/>
      <c r="F2" s="57"/>
      <c r="G2" s="57"/>
      <c r="H2" s="57"/>
      <c r="I2" s="57"/>
      <c r="J2" s="57"/>
      <c r="K2" s="57"/>
      <c r="L2" s="57"/>
      <c r="M2" s="63"/>
      <c r="N2" s="57"/>
      <c r="O2" s="198"/>
      <c r="P2" s="198"/>
      <c r="Q2" s="198"/>
      <c r="R2" s="57"/>
      <c r="S2" s="57"/>
      <c r="T2" s="57"/>
      <c r="U2" s="57"/>
      <c r="V2" s="63"/>
      <c r="W2" s="63"/>
      <c r="X2" s="57"/>
      <c r="Y2" s="57"/>
      <c r="Z2" s="57"/>
      <c r="AA2" s="57"/>
    </row>
    <row r="3" spans="1:39">
      <c r="A3" s="35"/>
      <c r="B3" s="35"/>
      <c r="C3" s="35"/>
      <c r="D3" s="35"/>
      <c r="E3" s="57"/>
      <c r="F3" s="57"/>
      <c r="G3" s="57"/>
      <c r="H3" s="57"/>
      <c r="I3" s="57"/>
      <c r="J3" s="58"/>
      <c r="K3" s="57"/>
      <c r="L3" s="57"/>
      <c r="M3" s="63"/>
      <c r="N3" s="57"/>
      <c r="O3" s="198"/>
      <c r="P3" s="198"/>
      <c r="Q3" s="198"/>
      <c r="R3" s="57"/>
      <c r="S3" s="57"/>
      <c r="T3" s="57"/>
      <c r="U3" s="57"/>
      <c r="V3" s="63"/>
      <c r="W3" s="63"/>
      <c r="X3" s="57"/>
      <c r="Y3" s="57"/>
      <c r="Z3" s="57"/>
      <c r="AA3" s="57"/>
    </row>
    <row r="4" spans="1:39">
      <c r="A4" s="35"/>
      <c r="B4" s="35"/>
      <c r="C4" s="35"/>
      <c r="D4" s="40"/>
      <c r="E4" s="57"/>
      <c r="F4" s="57"/>
      <c r="G4" s="57"/>
      <c r="H4" s="57"/>
      <c r="I4" s="57"/>
      <c r="J4" s="57"/>
      <c r="K4" s="57"/>
      <c r="L4" s="57"/>
      <c r="M4" s="63"/>
      <c r="N4" s="57"/>
      <c r="O4" s="198"/>
      <c r="P4" s="198"/>
      <c r="Q4" s="198"/>
      <c r="R4" s="57"/>
      <c r="S4" s="57"/>
      <c r="T4" s="57"/>
      <c r="U4" s="57"/>
      <c r="V4" s="63"/>
      <c r="W4" s="63"/>
      <c r="X4" s="57"/>
      <c r="Y4" s="57"/>
      <c r="Z4" s="57"/>
      <c r="AA4" s="57"/>
    </row>
    <row r="5" spans="1:39">
      <c r="A5" s="35"/>
      <c r="B5" s="35"/>
      <c r="C5" s="35"/>
      <c r="D5" s="35"/>
      <c r="E5" s="57"/>
      <c r="F5" s="57"/>
      <c r="G5" s="57"/>
      <c r="H5" s="57"/>
      <c r="I5" s="57"/>
      <c r="J5" s="57"/>
      <c r="K5" s="57"/>
      <c r="L5" s="57"/>
      <c r="M5" s="63"/>
      <c r="N5" s="57"/>
      <c r="O5" s="198"/>
      <c r="P5" s="198"/>
      <c r="Q5" s="198"/>
      <c r="R5" s="57"/>
      <c r="S5" s="57"/>
      <c r="T5" s="57"/>
      <c r="U5" s="57"/>
      <c r="V5" s="63"/>
      <c r="W5" s="63"/>
      <c r="X5" s="57"/>
      <c r="Y5" s="57"/>
      <c r="Z5" s="57"/>
      <c r="AA5" s="57"/>
    </row>
    <row r="6" spans="1:39">
      <c r="A6" s="35"/>
      <c r="B6" s="35"/>
      <c r="C6" s="35"/>
      <c r="D6" s="35"/>
      <c r="E6" s="59"/>
      <c r="F6" s="59"/>
      <c r="G6" s="59"/>
      <c r="H6" s="59"/>
      <c r="I6" s="59"/>
      <c r="J6" s="59"/>
      <c r="K6" s="59"/>
      <c r="L6" s="59"/>
      <c r="M6" s="207"/>
      <c r="N6" s="59"/>
      <c r="O6" s="198"/>
      <c r="P6" s="198"/>
      <c r="Q6" s="198"/>
      <c r="R6" s="57"/>
      <c r="S6" s="57"/>
      <c r="T6" s="59"/>
      <c r="U6" s="59"/>
      <c r="V6" s="63"/>
      <c r="W6" s="207"/>
      <c r="X6" s="59"/>
      <c r="Y6" s="59"/>
      <c r="Z6" s="59"/>
      <c r="AA6" s="59"/>
    </row>
    <row r="7" spans="1:39">
      <c r="A7" s="35"/>
      <c r="B7" s="35"/>
      <c r="C7" s="35"/>
      <c r="D7" s="35"/>
      <c r="E7" s="59"/>
      <c r="F7" s="59"/>
      <c r="G7" s="59"/>
      <c r="H7" s="59"/>
      <c r="I7" s="59"/>
      <c r="J7" s="59"/>
      <c r="K7" s="59"/>
      <c r="L7" s="59"/>
      <c r="M7" s="207"/>
      <c r="N7" s="59"/>
      <c r="O7" s="198"/>
      <c r="P7" s="198"/>
      <c r="Q7" s="198"/>
      <c r="R7" s="57"/>
      <c r="S7" s="57"/>
      <c r="T7" s="59"/>
      <c r="U7" s="59"/>
      <c r="V7" s="207"/>
      <c r="W7" s="207"/>
      <c r="X7" s="59"/>
      <c r="Y7" s="59"/>
      <c r="Z7" s="59"/>
      <c r="AA7" s="59"/>
    </row>
    <row r="8" spans="1:39">
      <c r="A8" s="35"/>
      <c r="B8" s="35"/>
      <c r="C8" s="35"/>
      <c r="D8" s="35"/>
      <c r="E8" s="293" t="s">
        <v>295</v>
      </c>
      <c r="F8" s="293"/>
      <c r="G8" s="293"/>
      <c r="H8" s="293"/>
      <c r="I8" s="293"/>
      <c r="J8" s="293"/>
      <c r="K8" s="293"/>
      <c r="L8" s="293"/>
      <c r="M8" s="293"/>
      <c r="N8" s="293"/>
      <c r="O8" s="198"/>
      <c r="P8" s="198"/>
      <c r="Q8" s="198"/>
      <c r="R8" s="57"/>
      <c r="S8" s="57"/>
      <c r="T8" s="293" t="s">
        <v>296</v>
      </c>
      <c r="U8" s="293"/>
      <c r="V8" s="293"/>
      <c r="W8" s="293"/>
      <c r="X8" s="293"/>
      <c r="Y8" s="293"/>
      <c r="Z8" s="293"/>
      <c r="AA8" s="293"/>
    </row>
    <row r="9" spans="1:39" ht="31.5" thickBot="1">
      <c r="A9" s="35"/>
      <c r="B9" s="35"/>
      <c r="C9" s="35"/>
      <c r="D9" s="51" t="s">
        <v>297</v>
      </c>
      <c r="E9" s="60" t="s">
        <v>72</v>
      </c>
      <c r="F9" s="60" t="s">
        <v>73</v>
      </c>
      <c r="G9" s="60" t="s">
        <v>74</v>
      </c>
      <c r="H9" s="60" t="s">
        <v>75</v>
      </c>
      <c r="I9" s="60" t="s">
        <v>76</v>
      </c>
      <c r="J9" s="60" t="s">
        <v>77</v>
      </c>
      <c r="K9" s="60" t="s">
        <v>78</v>
      </c>
      <c r="L9" s="60" t="s">
        <v>79</v>
      </c>
      <c r="M9" s="60" t="s">
        <v>298</v>
      </c>
      <c r="N9" s="61" t="s">
        <v>299</v>
      </c>
      <c r="O9" s="199" t="s">
        <v>82</v>
      </c>
      <c r="P9" s="199" t="s">
        <v>83</v>
      </c>
      <c r="Q9" s="199" t="s">
        <v>447</v>
      </c>
      <c r="R9" s="57"/>
      <c r="S9" s="57"/>
      <c r="T9" s="61" t="s">
        <v>142</v>
      </c>
      <c r="U9" s="61" t="s">
        <v>143</v>
      </c>
      <c r="V9" s="60" t="s">
        <v>300</v>
      </c>
      <c r="W9" s="60" t="s">
        <v>301</v>
      </c>
      <c r="X9" s="24" t="s">
        <v>302</v>
      </c>
      <c r="Y9" s="24" t="s">
        <v>303</v>
      </c>
      <c r="Z9" s="24" t="s">
        <v>304</v>
      </c>
      <c r="AA9" s="24" t="s">
        <v>305</v>
      </c>
      <c r="AB9" s="24" t="s">
        <v>150</v>
      </c>
      <c r="AC9" s="24" t="s">
        <v>151</v>
      </c>
      <c r="AD9" s="24" t="s">
        <v>152</v>
      </c>
      <c r="AE9" s="24" t="s">
        <v>153</v>
      </c>
      <c r="AF9" s="24" t="s">
        <v>154</v>
      </c>
      <c r="AG9" s="24" t="s">
        <v>155</v>
      </c>
      <c r="AH9" s="24" t="s">
        <v>156</v>
      </c>
      <c r="AI9" s="24" t="s">
        <v>157</v>
      </c>
      <c r="AJ9" s="24" t="s">
        <v>158</v>
      </c>
      <c r="AK9" s="24" t="s">
        <v>159</v>
      </c>
      <c r="AL9" s="24" t="s">
        <v>160</v>
      </c>
      <c r="AM9" s="24" t="s">
        <v>449</v>
      </c>
    </row>
    <row r="10" spans="1:39">
      <c r="A10" s="35"/>
      <c r="B10" s="35"/>
      <c r="C10" s="35"/>
      <c r="D10" s="40" t="s">
        <v>306</v>
      </c>
      <c r="E10" s="64">
        <v>124547</v>
      </c>
      <c r="F10" s="64">
        <v>122245</v>
      </c>
      <c r="G10" s="64">
        <v>137590</v>
      </c>
      <c r="H10" s="64">
        <v>160515</v>
      </c>
      <c r="I10" s="64">
        <v>178586</v>
      </c>
      <c r="J10" s="64">
        <v>208646</v>
      </c>
      <c r="K10" s="64">
        <v>252653</v>
      </c>
      <c r="L10" s="64">
        <v>274117</v>
      </c>
      <c r="M10" s="64">
        <v>262833</v>
      </c>
      <c r="N10" s="64">
        <v>282045</v>
      </c>
      <c r="O10" s="64">
        <v>330145</v>
      </c>
      <c r="P10" s="64">
        <v>399343</v>
      </c>
      <c r="Q10" s="64">
        <v>400234</v>
      </c>
      <c r="R10" s="198"/>
      <c r="S10" s="198"/>
      <c r="T10" s="64">
        <v>56517</v>
      </c>
      <c r="U10" s="64">
        <v>55242</v>
      </c>
      <c r="V10" s="64">
        <v>65763</v>
      </c>
      <c r="W10" s="64">
        <v>85311</v>
      </c>
      <c r="X10" s="5">
        <v>68593</v>
      </c>
      <c r="Y10" s="5">
        <v>72538</v>
      </c>
      <c r="Z10" s="5">
        <v>60838</v>
      </c>
      <c r="AA10" s="5">
        <v>80076</v>
      </c>
      <c r="AB10" s="5">
        <v>74269</v>
      </c>
      <c r="AC10" s="5">
        <v>71300</v>
      </c>
      <c r="AD10" s="5">
        <v>79329</v>
      </c>
      <c r="AE10" s="201">
        <v>105247</v>
      </c>
      <c r="AF10" s="5">
        <v>95705</v>
      </c>
      <c r="AG10" s="5">
        <v>102152</v>
      </c>
      <c r="AH10" s="5">
        <v>92045</v>
      </c>
      <c r="AI10" s="5">
        <v>109441</v>
      </c>
      <c r="AJ10" s="5">
        <v>93878</v>
      </c>
      <c r="AK10" s="5">
        <v>101454</v>
      </c>
      <c r="AL10" s="5">
        <v>92783</v>
      </c>
      <c r="AM10" s="5">
        <v>112119</v>
      </c>
    </row>
    <row r="11" spans="1:39">
      <c r="A11" s="35"/>
      <c r="B11" s="35"/>
      <c r="C11" s="35"/>
      <c r="D11" s="40" t="s">
        <v>307</v>
      </c>
      <c r="E11" s="64">
        <v>-104600</v>
      </c>
      <c r="F11" s="64">
        <v>-101934</v>
      </c>
      <c r="G11" s="64">
        <v>-114019</v>
      </c>
      <c r="H11" s="64">
        <v>-125534</v>
      </c>
      <c r="I11" s="64">
        <v>-139904</v>
      </c>
      <c r="J11" s="64">
        <v>-161988</v>
      </c>
      <c r="K11" s="64">
        <v>-203322</v>
      </c>
      <c r="L11" s="64">
        <v>-222047</v>
      </c>
      <c r="M11" s="64">
        <v>-216880</v>
      </c>
      <c r="N11" s="64">
        <v>-221254</v>
      </c>
      <c r="O11" s="200">
        <v>-269813</v>
      </c>
      <c r="P11" s="200">
        <v>-321916</v>
      </c>
      <c r="Q11" s="200">
        <v>-320821</v>
      </c>
      <c r="R11" s="198"/>
      <c r="S11" s="198"/>
      <c r="T11" s="64">
        <v>-46762</v>
      </c>
      <c r="U11" s="64">
        <v>-47718</v>
      </c>
      <c r="V11" s="64">
        <f>-52913</f>
        <v>-52913</v>
      </c>
      <c r="W11" s="64">
        <f>-69420-67</f>
        <v>-69487</v>
      </c>
      <c r="X11" s="5">
        <f>-54517+77.96</f>
        <v>-54439.040000000001</v>
      </c>
      <c r="Y11" s="5">
        <f>-56503+119.883</f>
        <v>-56383.116999999998</v>
      </c>
      <c r="Z11" s="5">
        <f>-47101+82.248</f>
        <v>-47018.752</v>
      </c>
      <c r="AA11" s="5">
        <f>-63511+98.195</f>
        <v>-63412.805</v>
      </c>
      <c r="AB11" s="5">
        <v>-58555</v>
      </c>
      <c r="AC11" s="5">
        <v>-57204</v>
      </c>
      <c r="AD11" s="5">
        <v>-65612</v>
      </c>
      <c r="AE11" s="79">
        <v>-88442</v>
      </c>
      <c r="AF11" s="5">
        <v>-78606</v>
      </c>
      <c r="AG11" s="5">
        <v>-82733</v>
      </c>
      <c r="AH11" s="5">
        <v>-73968</v>
      </c>
      <c r="AI11" s="5">
        <v>-86609</v>
      </c>
      <c r="AJ11" s="5">
        <v>-75806</v>
      </c>
      <c r="AK11" s="5">
        <v>-78272</v>
      </c>
      <c r="AL11" s="5">
        <v>-73747</v>
      </c>
      <c r="AM11" s="5">
        <v>-92997</v>
      </c>
    </row>
    <row r="12" spans="1:39">
      <c r="A12" s="35"/>
      <c r="B12" s="35"/>
      <c r="C12" s="35"/>
      <c r="D12" s="52" t="s">
        <v>308</v>
      </c>
      <c r="E12" s="67">
        <v>19947</v>
      </c>
      <c r="F12" s="67">
        <v>20311</v>
      </c>
      <c r="G12" s="67">
        <v>23571</v>
      </c>
      <c r="H12" s="67">
        <v>34981</v>
      </c>
      <c r="I12" s="67">
        <v>38682</v>
      </c>
      <c r="J12" s="67">
        <v>46658</v>
      </c>
      <c r="K12" s="67">
        <v>49331</v>
      </c>
      <c r="L12" s="67">
        <v>52070</v>
      </c>
      <c r="M12" s="67">
        <v>45953</v>
      </c>
      <c r="N12" s="67">
        <v>60791</v>
      </c>
      <c r="O12" s="68">
        <v>60332</v>
      </c>
      <c r="P12" s="68">
        <v>77427</v>
      </c>
      <c r="Q12" s="68">
        <v>79413</v>
      </c>
      <c r="R12" s="198"/>
      <c r="S12" s="198"/>
      <c r="T12" s="67">
        <v>9755</v>
      </c>
      <c r="U12" s="67">
        <v>7524</v>
      </c>
      <c r="V12" s="67">
        <f>12850</f>
        <v>12850</v>
      </c>
      <c r="W12" s="67">
        <f>SUM(W10:W11)</f>
        <v>15824</v>
      </c>
      <c r="X12" s="103">
        <v>14154</v>
      </c>
      <c r="Y12" s="103">
        <v>16155</v>
      </c>
      <c r="Z12" s="103">
        <v>13819</v>
      </c>
      <c r="AA12" s="103">
        <v>16663</v>
      </c>
      <c r="AB12" s="103">
        <v>15714</v>
      </c>
      <c r="AC12" s="103">
        <v>14096</v>
      </c>
      <c r="AD12" s="103">
        <v>13717</v>
      </c>
      <c r="AE12" s="7">
        <v>16805</v>
      </c>
      <c r="AF12" s="103">
        <v>17099</v>
      </c>
      <c r="AG12" s="103">
        <v>19419</v>
      </c>
      <c r="AH12" s="103">
        <v>18077</v>
      </c>
      <c r="AI12" s="103">
        <v>22832</v>
      </c>
      <c r="AJ12" s="103">
        <v>18072</v>
      </c>
      <c r="AK12" s="103">
        <v>23182</v>
      </c>
      <c r="AL12" s="103">
        <v>19036</v>
      </c>
      <c r="AM12" s="103">
        <v>19122</v>
      </c>
    </row>
    <row r="13" spans="1:39">
      <c r="A13" s="35"/>
      <c r="B13" s="35"/>
      <c r="C13" s="35"/>
      <c r="D13" s="40"/>
      <c r="E13" s="64"/>
      <c r="F13" s="64"/>
      <c r="G13" s="64"/>
      <c r="H13" s="64"/>
      <c r="I13" s="64"/>
      <c r="J13" s="64"/>
      <c r="K13" s="64"/>
      <c r="L13" s="64"/>
      <c r="M13" s="206"/>
      <c r="N13" s="64"/>
      <c r="O13" s="64"/>
      <c r="P13" s="196"/>
      <c r="Q13" s="196"/>
      <c r="R13" s="198"/>
      <c r="S13" s="198"/>
      <c r="T13" s="64"/>
      <c r="U13" s="64"/>
      <c r="V13" s="64"/>
      <c r="W13" s="64"/>
      <c r="X13" s="5"/>
      <c r="Y13" s="5"/>
      <c r="Z13" s="5"/>
      <c r="AA13" s="5"/>
      <c r="AB13" s="5"/>
      <c r="AC13" s="5"/>
      <c r="AD13" s="5"/>
      <c r="AE13" s="1"/>
      <c r="AF13" s="5"/>
      <c r="AG13" s="197"/>
      <c r="AH13" s="197"/>
      <c r="AI13" s="197"/>
      <c r="AJ13" s="197"/>
      <c r="AK13" s="197"/>
      <c r="AL13" s="5"/>
      <c r="AM13" s="5"/>
    </row>
    <row r="14" spans="1:39">
      <c r="A14" s="35"/>
      <c r="B14" s="35"/>
      <c r="C14" s="35"/>
      <c r="D14" s="40" t="s">
        <v>309</v>
      </c>
      <c r="E14" s="202">
        <v>-6289</v>
      </c>
      <c r="F14" s="202">
        <v>-5864</v>
      </c>
      <c r="G14" s="202">
        <v>-7193</v>
      </c>
      <c r="H14" s="202">
        <v>-9480</v>
      </c>
      <c r="I14" s="202">
        <v>-10174</v>
      </c>
      <c r="J14" s="202">
        <v>-10187</v>
      </c>
      <c r="K14" s="202">
        <v>-10903</v>
      </c>
      <c r="L14" s="202">
        <v>-11446</v>
      </c>
      <c r="M14" s="64">
        <v>-11362</v>
      </c>
      <c r="N14" s="64">
        <v>-12714</v>
      </c>
      <c r="O14" s="64">
        <v>-11514</v>
      </c>
      <c r="P14" s="64">
        <v>-12884</v>
      </c>
      <c r="Q14" s="64">
        <v>-16983</v>
      </c>
      <c r="R14" s="198"/>
      <c r="S14" s="198"/>
      <c r="T14" s="64">
        <v>-2706</v>
      </c>
      <c r="U14" s="64">
        <v>-3272</v>
      </c>
      <c r="V14" s="64">
        <v>-3299</v>
      </c>
      <c r="W14" s="64">
        <v>-2085</v>
      </c>
      <c r="X14" s="5">
        <f>-3503+84.898</f>
        <v>-3418.1019999999999</v>
      </c>
      <c r="Y14" s="5">
        <f>-3645+130.465</f>
        <v>-3514.5349999999999</v>
      </c>
      <c r="Z14" s="5">
        <f>-2689+89.545</f>
        <v>-2599.4549999999999</v>
      </c>
      <c r="AA14" s="5">
        <f>-3289+106.907</f>
        <v>-3182.0929999999998</v>
      </c>
      <c r="AB14" s="5">
        <v>-3230</v>
      </c>
      <c r="AC14" s="5">
        <v>-2918</v>
      </c>
      <c r="AD14" s="5">
        <v>-2817</v>
      </c>
      <c r="AE14" s="5">
        <v>-2549</v>
      </c>
      <c r="AF14" s="5">
        <v>-2878</v>
      </c>
      <c r="AG14" s="5">
        <v>-3383</v>
      </c>
      <c r="AH14" s="5">
        <v>-2909</v>
      </c>
      <c r="AI14" s="5">
        <v>-3714</v>
      </c>
      <c r="AJ14" s="5">
        <v>-3827</v>
      </c>
      <c r="AK14" s="5">
        <v>-4725</v>
      </c>
      <c r="AL14" s="5">
        <v>-3403</v>
      </c>
      <c r="AM14" s="5">
        <v>-5028</v>
      </c>
    </row>
    <row r="15" spans="1:39">
      <c r="A15" s="35"/>
      <c r="B15" s="35"/>
      <c r="C15" s="35"/>
      <c r="D15" s="40" t="s">
        <v>310</v>
      </c>
      <c r="E15" s="202">
        <v>-8642</v>
      </c>
      <c r="F15" s="202">
        <v>-7919</v>
      </c>
      <c r="G15" s="202">
        <v>-8708</v>
      </c>
      <c r="H15" s="202">
        <v>-10951</v>
      </c>
      <c r="I15" s="202">
        <v>-11992</v>
      </c>
      <c r="J15" s="202">
        <v>-15266</v>
      </c>
      <c r="K15" s="202">
        <v>-17371</v>
      </c>
      <c r="L15" s="202">
        <v>-17287</v>
      </c>
      <c r="M15" s="64">
        <v>-16097</v>
      </c>
      <c r="N15" s="64">
        <v>-18796</v>
      </c>
      <c r="O15" s="64">
        <v>-21000</v>
      </c>
      <c r="P15" s="64">
        <v>-26056</v>
      </c>
      <c r="Q15" s="64">
        <v>-25409</v>
      </c>
      <c r="R15" s="198"/>
      <c r="S15" s="198"/>
      <c r="T15" s="64">
        <v>-3790</v>
      </c>
      <c r="U15" s="64">
        <v>-3267</v>
      </c>
      <c r="V15" s="64">
        <f>-3572-387</f>
        <v>-3959</v>
      </c>
      <c r="W15" s="64">
        <v>-5081</v>
      </c>
      <c r="X15" s="5">
        <f>-4003+69.41+18.297</f>
        <v>-3915.2930000000001</v>
      </c>
      <c r="Y15" s="5">
        <f>-4967+100.576+28.137</f>
        <v>-4838.2870000000003</v>
      </c>
      <c r="Z15" s="5">
        <f>-4802+71.129+19.247</f>
        <v>-4711.6239999999998</v>
      </c>
      <c r="AA15" s="5">
        <f>-5439+84.92+22.979</f>
        <v>-5331.1009999999997</v>
      </c>
      <c r="AB15" s="5">
        <v>-4586</v>
      </c>
      <c r="AC15" s="5">
        <v>-4565</v>
      </c>
      <c r="AD15" s="5">
        <v>-5114</v>
      </c>
      <c r="AE15" s="5">
        <v>-6735</v>
      </c>
      <c r="AF15" s="5">
        <v>-5789</v>
      </c>
      <c r="AG15" s="5">
        <v>-6612</v>
      </c>
      <c r="AH15" s="5">
        <v>-6576</v>
      </c>
      <c r="AI15" s="5">
        <v>-7079</v>
      </c>
      <c r="AJ15" s="5">
        <v>-5772</v>
      </c>
      <c r="AK15" s="5">
        <v>-6789</v>
      </c>
      <c r="AL15" s="5">
        <v>-6623</v>
      </c>
      <c r="AM15" s="5">
        <v>-6225</v>
      </c>
    </row>
    <row r="16" spans="1:39">
      <c r="A16" s="35"/>
      <c r="B16" s="35"/>
      <c r="C16" s="35"/>
      <c r="D16" s="40" t="s">
        <v>311</v>
      </c>
      <c r="E16" s="202">
        <v>-5240</v>
      </c>
      <c r="F16" s="202">
        <v>-5129</v>
      </c>
      <c r="G16" s="202">
        <v>-5943</v>
      </c>
      <c r="H16" s="202">
        <v>-7234</v>
      </c>
      <c r="I16" s="202">
        <v>-6471</v>
      </c>
      <c r="J16" s="202">
        <v>-8182</v>
      </c>
      <c r="K16" s="202">
        <v>-8001</v>
      </c>
      <c r="L16" s="202">
        <v>-9489</v>
      </c>
      <c r="M16" s="64">
        <v>-8565</v>
      </c>
      <c r="N16" s="64">
        <v>-9698</v>
      </c>
      <c r="O16" s="64">
        <v>-11485</v>
      </c>
      <c r="P16" s="64">
        <v>-12539</v>
      </c>
      <c r="Q16" s="64">
        <v>-12038</v>
      </c>
      <c r="R16" s="198"/>
      <c r="S16" s="198"/>
      <c r="T16" s="64">
        <v>-2097</v>
      </c>
      <c r="U16" s="64">
        <v>-2134</v>
      </c>
      <c r="V16" s="64">
        <f>-1840</f>
        <v>-1840</v>
      </c>
      <c r="W16" s="64">
        <v>-2494</v>
      </c>
      <c r="X16" s="5">
        <f>-1922-250.564</f>
        <v>-2172.5639999999999</v>
      </c>
      <c r="Y16" s="5">
        <f>-1690-379.011</f>
        <v>-2069.011</v>
      </c>
      <c r="Z16" s="5">
        <f>-2516-262.168</f>
        <v>-2778.1680000000001</v>
      </c>
      <c r="AA16" s="5">
        <f>-2365-313.002</f>
        <v>-2678.002</v>
      </c>
      <c r="AB16" s="5">
        <v>-2600</v>
      </c>
      <c r="AC16" s="5">
        <v>-2930</v>
      </c>
      <c r="AD16" s="5">
        <v>-2905</v>
      </c>
      <c r="AE16" s="5">
        <v>-3050</v>
      </c>
      <c r="AF16" s="5">
        <v>-2765</v>
      </c>
      <c r="AG16" s="5">
        <v>-3469</v>
      </c>
      <c r="AH16" s="5">
        <v>-2945</v>
      </c>
      <c r="AI16" s="5">
        <v>-3360</v>
      </c>
      <c r="AJ16" s="5">
        <v>-2784</v>
      </c>
      <c r="AK16" s="5">
        <v>-2942</v>
      </c>
      <c r="AL16" s="5">
        <v>-3001</v>
      </c>
      <c r="AM16" s="5">
        <v>-3311</v>
      </c>
    </row>
    <row r="17" spans="1:39">
      <c r="A17" s="35"/>
      <c r="B17" s="35"/>
      <c r="C17" s="35"/>
      <c r="D17" s="40" t="s">
        <v>312</v>
      </c>
      <c r="E17" s="202">
        <v>218</v>
      </c>
      <c r="F17" s="202">
        <v>341</v>
      </c>
      <c r="G17" s="202">
        <v>210</v>
      </c>
      <c r="H17" s="202">
        <v>-926</v>
      </c>
      <c r="I17" s="202">
        <v>551</v>
      </c>
      <c r="J17" s="202">
        <v>838</v>
      </c>
      <c r="K17" s="202">
        <v>1062</v>
      </c>
      <c r="L17" s="202">
        <v>623</v>
      </c>
      <c r="M17" s="64">
        <v>-1541</v>
      </c>
      <c r="N17" s="202">
        <v>1643</v>
      </c>
      <c r="O17" s="64">
        <v>1556</v>
      </c>
      <c r="P17" s="64">
        <v>-381</v>
      </c>
      <c r="Q17" s="64">
        <v>2057</v>
      </c>
      <c r="R17" s="198"/>
      <c r="S17" s="198"/>
      <c r="T17" s="64">
        <v>-85</v>
      </c>
      <c r="U17" s="64">
        <v>-129</v>
      </c>
      <c r="V17" s="64">
        <v>7</v>
      </c>
      <c r="W17" s="64">
        <v>-1334</v>
      </c>
      <c r="X17" s="5">
        <v>880</v>
      </c>
      <c r="Y17" s="5">
        <v>-19</v>
      </c>
      <c r="Z17" s="5">
        <v>586</v>
      </c>
      <c r="AA17" s="5">
        <v>196</v>
      </c>
      <c r="AB17" s="5">
        <v>579</v>
      </c>
      <c r="AC17" s="204">
        <v>929</v>
      </c>
      <c r="AD17" s="204">
        <v>632</v>
      </c>
      <c r="AE17" s="1">
        <v>-584</v>
      </c>
      <c r="AF17" s="5">
        <v>648</v>
      </c>
      <c r="AG17" s="5">
        <v>472</v>
      </c>
      <c r="AH17" s="5">
        <v>501</v>
      </c>
      <c r="AI17" s="5">
        <v>-2002</v>
      </c>
      <c r="AJ17" s="5">
        <v>1106</v>
      </c>
      <c r="AK17" s="5">
        <v>-510</v>
      </c>
      <c r="AL17" s="5">
        <v>-299</v>
      </c>
      <c r="AM17" s="5">
        <v>1761</v>
      </c>
    </row>
    <row r="18" spans="1:39">
      <c r="A18" s="35"/>
      <c r="B18" s="35"/>
      <c r="C18" s="35"/>
      <c r="D18" s="40" t="s">
        <v>313</v>
      </c>
      <c r="E18" s="202">
        <v>24</v>
      </c>
      <c r="F18" s="202">
        <v>179</v>
      </c>
      <c r="G18" s="202">
        <v>191</v>
      </c>
      <c r="H18" s="202">
        <v>230</v>
      </c>
      <c r="I18" s="202">
        <v>418</v>
      </c>
      <c r="J18" s="202">
        <v>200</v>
      </c>
      <c r="K18" s="202">
        <v>67</v>
      </c>
      <c r="L18" s="202">
        <v>-168</v>
      </c>
      <c r="M18" s="64">
        <v>-352</v>
      </c>
      <c r="N18" s="64">
        <v>-951</v>
      </c>
      <c r="O18" s="200">
        <v>4443</v>
      </c>
      <c r="P18" s="200">
        <v>-5628</v>
      </c>
      <c r="Q18" s="200">
        <v>-4722</v>
      </c>
      <c r="R18" s="198"/>
      <c r="S18" s="198"/>
      <c r="T18" s="64">
        <v>-438</v>
      </c>
      <c r="U18" s="64">
        <v>-350</v>
      </c>
      <c r="V18" s="64">
        <v>422</v>
      </c>
      <c r="W18" s="64">
        <v>14</v>
      </c>
      <c r="X18" s="5">
        <v>2895</v>
      </c>
      <c r="Y18" s="5">
        <v>-899</v>
      </c>
      <c r="Z18" s="5">
        <v>-987</v>
      </c>
      <c r="AA18" s="5">
        <v>-1960</v>
      </c>
      <c r="AB18" s="5">
        <v>161</v>
      </c>
      <c r="AC18" s="5">
        <v>6189</v>
      </c>
      <c r="AD18" s="5">
        <v>-1463</v>
      </c>
      <c r="AE18" s="5">
        <v>-444</v>
      </c>
      <c r="AF18" s="5">
        <v>-1215</v>
      </c>
      <c r="AG18" s="5">
        <v>-1434</v>
      </c>
      <c r="AH18" s="5">
        <v>-1690</v>
      </c>
      <c r="AI18" s="5">
        <v>-1289</v>
      </c>
      <c r="AJ18" s="5">
        <v>-2089</v>
      </c>
      <c r="AK18" s="5">
        <v>-247</v>
      </c>
      <c r="AL18" s="5">
        <v>80</v>
      </c>
      <c r="AM18" s="5">
        <v>-2466</v>
      </c>
    </row>
    <row r="19" spans="1:39">
      <c r="A19" s="35"/>
      <c r="B19" s="35"/>
      <c r="C19" s="35"/>
      <c r="D19" s="52" t="s">
        <v>314</v>
      </c>
      <c r="E19" s="203">
        <v>18</v>
      </c>
      <c r="F19" s="203">
        <v>1919</v>
      </c>
      <c r="G19" s="203">
        <v>2128</v>
      </c>
      <c r="H19" s="203">
        <v>6620</v>
      </c>
      <c r="I19" s="203">
        <v>11014</v>
      </c>
      <c r="J19" s="203">
        <v>14061</v>
      </c>
      <c r="K19" s="203">
        <v>14185</v>
      </c>
      <c r="L19" s="203">
        <v>14303</v>
      </c>
      <c r="M19" s="67">
        <v>8036</v>
      </c>
      <c r="N19" s="67">
        <v>20275</v>
      </c>
      <c r="O19" s="68">
        <v>22332</v>
      </c>
      <c r="P19" s="68">
        <v>19939</v>
      </c>
      <c r="Q19" s="68">
        <v>22318</v>
      </c>
      <c r="R19" s="198"/>
      <c r="S19" s="198"/>
      <c r="T19" s="67">
        <v>639</v>
      </c>
      <c r="U19" s="67">
        <v>-1628</v>
      </c>
      <c r="V19" s="67">
        <v>4181</v>
      </c>
      <c r="W19" s="67">
        <v>4844</v>
      </c>
      <c r="X19" s="103">
        <v>8423</v>
      </c>
      <c r="Y19" s="103">
        <v>4815</v>
      </c>
      <c r="Z19" s="103">
        <v>3329</v>
      </c>
      <c r="AA19" s="103">
        <v>3708</v>
      </c>
      <c r="AB19" s="103">
        <v>6038</v>
      </c>
      <c r="AC19" s="103">
        <v>10801</v>
      </c>
      <c r="AD19" s="103">
        <v>2050</v>
      </c>
      <c r="AE19" s="103">
        <v>3443</v>
      </c>
      <c r="AF19" s="103">
        <v>5100</v>
      </c>
      <c r="AG19" s="103">
        <v>4993</v>
      </c>
      <c r="AH19" s="103">
        <v>4458</v>
      </c>
      <c r="AI19" s="103">
        <v>5388</v>
      </c>
      <c r="AJ19" s="103">
        <v>4706</v>
      </c>
      <c r="AK19" s="103">
        <v>7969</v>
      </c>
      <c r="AL19" s="103">
        <v>5790</v>
      </c>
      <c r="AM19" s="103">
        <v>3853</v>
      </c>
    </row>
    <row r="20" spans="1:39">
      <c r="A20" s="35"/>
      <c r="B20" s="35"/>
      <c r="C20" s="35"/>
      <c r="D20" s="40"/>
      <c r="E20" s="202"/>
      <c r="F20" s="202"/>
      <c r="G20" s="202"/>
      <c r="H20" s="202"/>
      <c r="I20" s="202"/>
      <c r="J20" s="202"/>
      <c r="K20" s="202"/>
      <c r="L20" s="202"/>
      <c r="M20" s="64"/>
      <c r="N20" s="202"/>
      <c r="O20" s="202"/>
      <c r="P20" s="196"/>
      <c r="Q20" s="196"/>
      <c r="R20" s="202"/>
      <c r="S20" s="202"/>
      <c r="T20" s="202"/>
      <c r="U20" s="202"/>
      <c r="V20" s="64"/>
      <c r="W20" s="64"/>
      <c r="X20" s="202"/>
      <c r="Y20" s="202"/>
      <c r="Z20" s="202"/>
      <c r="AA20" s="202"/>
      <c r="AB20" s="202"/>
      <c r="AC20" s="202"/>
      <c r="AD20" s="202"/>
      <c r="AE20" s="202"/>
      <c r="AF20" s="202"/>
      <c r="AG20" s="196"/>
      <c r="AH20" s="196"/>
      <c r="AI20" s="196"/>
      <c r="AJ20" s="196"/>
      <c r="AK20" s="196"/>
      <c r="AL20" s="196"/>
      <c r="AM20" s="196"/>
    </row>
    <row r="21" spans="1:39">
      <c r="A21" s="35"/>
      <c r="B21" s="35"/>
      <c r="C21" s="35"/>
      <c r="D21" s="40" t="s">
        <v>315</v>
      </c>
      <c r="E21" s="202">
        <v>118</v>
      </c>
      <c r="F21" s="202">
        <v>83</v>
      </c>
      <c r="G21" s="202">
        <v>147</v>
      </c>
      <c r="H21" s="202">
        <v>139</v>
      </c>
      <c r="I21" s="202">
        <v>216</v>
      </c>
      <c r="J21" s="202">
        <v>302</v>
      </c>
      <c r="K21" s="202">
        <v>408</v>
      </c>
      <c r="L21" s="202">
        <v>568</v>
      </c>
      <c r="M21" s="64">
        <v>548</v>
      </c>
      <c r="N21" s="202">
        <v>600</v>
      </c>
      <c r="O21" s="202">
        <v>852</v>
      </c>
      <c r="P21" s="64">
        <v>2495</v>
      </c>
      <c r="Q21" s="64">
        <v>2190</v>
      </c>
      <c r="R21" s="198"/>
      <c r="S21" s="198"/>
      <c r="T21" s="64">
        <v>160</v>
      </c>
      <c r="U21" s="64">
        <v>87</v>
      </c>
      <c r="V21" s="64">
        <v>112</v>
      </c>
      <c r="W21" s="64">
        <v>189</v>
      </c>
      <c r="X21" s="5">
        <v>169</v>
      </c>
      <c r="Y21" s="5">
        <v>130</v>
      </c>
      <c r="Z21" s="5">
        <v>138</v>
      </c>
      <c r="AA21" s="5">
        <v>163</v>
      </c>
      <c r="AB21" s="5">
        <v>165</v>
      </c>
      <c r="AC21" s="204">
        <v>139</v>
      </c>
      <c r="AD21" s="204">
        <v>211</v>
      </c>
      <c r="AE21" s="1">
        <v>337</v>
      </c>
      <c r="AF21" s="5">
        <v>499</v>
      </c>
      <c r="AG21" s="5">
        <v>598</v>
      </c>
      <c r="AH21" s="5">
        <v>658</v>
      </c>
      <c r="AI21" s="5">
        <v>740</v>
      </c>
      <c r="AJ21" s="5">
        <v>681</v>
      </c>
      <c r="AK21" s="5">
        <v>590</v>
      </c>
      <c r="AL21" s="5">
        <v>479</v>
      </c>
      <c r="AM21" s="5">
        <v>440</v>
      </c>
    </row>
    <row r="22" spans="1:39">
      <c r="A22" s="35"/>
      <c r="B22" s="35"/>
      <c r="C22" s="35"/>
      <c r="D22" s="40" t="s">
        <v>316</v>
      </c>
      <c r="E22" s="202">
        <v>-494</v>
      </c>
      <c r="F22" s="202">
        <v>-497</v>
      </c>
      <c r="G22" s="202">
        <v>-955</v>
      </c>
      <c r="H22" s="202">
        <v>-1120</v>
      </c>
      <c r="I22" s="202">
        <v>-968</v>
      </c>
      <c r="J22" s="202">
        <v>-830</v>
      </c>
      <c r="K22" s="202">
        <v>-767</v>
      </c>
      <c r="L22" s="202">
        <v>-1256</v>
      </c>
      <c r="M22" s="64">
        <v>-1208</v>
      </c>
      <c r="N22" s="202">
        <v>-1057</v>
      </c>
      <c r="O22" s="202">
        <v>-837</v>
      </c>
      <c r="P22" s="64">
        <v>-772</v>
      </c>
      <c r="Q22" s="64">
        <v>-1164</v>
      </c>
      <c r="R22" s="198"/>
      <c r="S22" s="198"/>
      <c r="T22" s="64">
        <v>-300</v>
      </c>
      <c r="U22" s="64">
        <v>-288</v>
      </c>
      <c r="V22" s="64">
        <v>-275</v>
      </c>
      <c r="W22" s="64">
        <v>-345</v>
      </c>
      <c r="X22" s="5">
        <v>-285</v>
      </c>
      <c r="Y22" s="5">
        <v>-292</v>
      </c>
      <c r="Z22" s="5">
        <v>-265</v>
      </c>
      <c r="AA22" s="5">
        <v>-215</v>
      </c>
      <c r="AB22" s="5">
        <v>-205</v>
      </c>
      <c r="AC22" s="204">
        <v>-212</v>
      </c>
      <c r="AD22" s="204">
        <v>-191</v>
      </c>
      <c r="AE22" s="1">
        <v>-228</v>
      </c>
      <c r="AF22" s="5">
        <v>-200</v>
      </c>
      <c r="AG22" s="5">
        <v>-192</v>
      </c>
      <c r="AH22" s="5">
        <v>-190</v>
      </c>
      <c r="AI22" s="5">
        <v>-190</v>
      </c>
      <c r="AJ22" s="5">
        <v>-444</v>
      </c>
      <c r="AK22" s="5">
        <v>-602</v>
      </c>
      <c r="AL22" s="5">
        <v>-385</v>
      </c>
      <c r="AM22" s="5">
        <v>-324</v>
      </c>
    </row>
    <row r="23" spans="1:39">
      <c r="A23" s="35"/>
      <c r="B23" s="35"/>
      <c r="C23" s="35"/>
      <c r="D23" s="40" t="s">
        <v>317</v>
      </c>
      <c r="E23" s="64">
        <v>-557</v>
      </c>
      <c r="F23" s="64">
        <v>-373</v>
      </c>
      <c r="G23" s="64">
        <v>-165</v>
      </c>
      <c r="H23" s="64">
        <v>-250</v>
      </c>
      <c r="I23" s="64">
        <v>-741</v>
      </c>
      <c r="J23" s="64">
        <v>-386</v>
      </c>
      <c r="K23" s="64">
        <v>-909</v>
      </c>
      <c r="L23" s="64">
        <v>-447</v>
      </c>
      <c r="M23" s="64">
        <v>1690</v>
      </c>
      <c r="N23" s="64">
        <v>-1058</v>
      </c>
      <c r="O23" s="200">
        <v>-1532</v>
      </c>
      <c r="P23" s="200">
        <v>-802</v>
      </c>
      <c r="Q23" s="200">
        <v>-625</v>
      </c>
      <c r="R23" s="198"/>
      <c r="S23" s="198"/>
      <c r="T23" s="64">
        <v>184</v>
      </c>
      <c r="U23" s="64">
        <v>-171</v>
      </c>
      <c r="V23" s="64">
        <v>-186</v>
      </c>
      <c r="W23" s="64">
        <v>1863</v>
      </c>
      <c r="X23" s="5">
        <v>-698</v>
      </c>
      <c r="Y23" s="5">
        <v>-285</v>
      </c>
      <c r="Z23" s="5">
        <v>-110</v>
      </c>
      <c r="AA23" s="5">
        <v>35</v>
      </c>
      <c r="AB23" s="5">
        <v>-215</v>
      </c>
      <c r="AC23" s="5">
        <v>-729</v>
      </c>
      <c r="AD23" s="5">
        <v>-153</v>
      </c>
      <c r="AE23" s="5">
        <v>-436</v>
      </c>
      <c r="AF23" s="5">
        <v>-15</v>
      </c>
      <c r="AG23" s="5">
        <v>-26</v>
      </c>
      <c r="AH23" s="5">
        <v>-204</v>
      </c>
      <c r="AI23" s="5">
        <v>-557</v>
      </c>
      <c r="AJ23" s="5">
        <v>155</v>
      </c>
      <c r="AK23" s="5">
        <v>-135</v>
      </c>
      <c r="AL23" s="5">
        <v>170</v>
      </c>
      <c r="AM23" s="5">
        <v>-224</v>
      </c>
    </row>
    <row r="24" spans="1:39">
      <c r="A24" s="35"/>
      <c r="B24" s="35"/>
      <c r="C24" s="35"/>
      <c r="D24" s="52" t="s">
        <v>318</v>
      </c>
      <c r="E24" s="67">
        <v>-915</v>
      </c>
      <c r="F24" s="67">
        <v>1132</v>
      </c>
      <c r="G24" s="67">
        <v>1155</v>
      </c>
      <c r="H24" s="67">
        <v>5389</v>
      </c>
      <c r="I24" s="67">
        <v>9521</v>
      </c>
      <c r="J24" s="67">
        <v>13147</v>
      </c>
      <c r="K24" s="67">
        <v>12917</v>
      </c>
      <c r="L24" s="67">
        <v>13168</v>
      </c>
      <c r="M24" s="67">
        <v>9066</v>
      </c>
      <c r="N24" s="67">
        <v>18760</v>
      </c>
      <c r="O24" s="68">
        <v>20815</v>
      </c>
      <c r="P24" s="68">
        <v>20860</v>
      </c>
      <c r="Q24" s="68">
        <v>22719</v>
      </c>
      <c r="R24" s="198"/>
      <c r="S24" s="198"/>
      <c r="T24" s="67">
        <v>683</v>
      </c>
      <c r="U24" s="67">
        <v>-2000</v>
      </c>
      <c r="V24" s="67">
        <v>3832</v>
      </c>
      <c r="W24" s="67">
        <v>6551</v>
      </c>
      <c r="X24" s="103">
        <v>7609</v>
      </c>
      <c r="Y24" s="103">
        <v>4368</v>
      </c>
      <c r="Z24" s="103">
        <v>3092</v>
      </c>
      <c r="AA24" s="103">
        <v>3691</v>
      </c>
      <c r="AB24" s="103">
        <v>5783</v>
      </c>
      <c r="AC24" s="103">
        <v>9999</v>
      </c>
      <c r="AD24" s="103">
        <v>1917</v>
      </c>
      <c r="AE24" s="103">
        <v>3116</v>
      </c>
      <c r="AF24" s="103">
        <v>5384</v>
      </c>
      <c r="AG24" s="103">
        <v>5373</v>
      </c>
      <c r="AH24" s="103">
        <v>4722</v>
      </c>
      <c r="AI24" s="103">
        <v>5381</v>
      </c>
      <c r="AJ24" s="103">
        <v>5098</v>
      </c>
      <c r="AK24" s="103">
        <v>7822</v>
      </c>
      <c r="AL24" s="103">
        <v>6054</v>
      </c>
      <c r="AM24" s="103">
        <v>3745</v>
      </c>
    </row>
    <row r="25" spans="1:39">
      <c r="A25" s="35"/>
      <c r="B25" s="35"/>
      <c r="C25" s="35"/>
      <c r="D25" s="40"/>
      <c r="E25" s="196"/>
      <c r="F25" s="196"/>
      <c r="G25" s="196"/>
      <c r="H25" s="196"/>
      <c r="I25" s="196"/>
      <c r="J25" s="196"/>
      <c r="K25" s="196"/>
      <c r="L25" s="196"/>
      <c r="M25" s="64"/>
      <c r="N25" s="196"/>
      <c r="O25" s="196"/>
      <c r="P25" s="196"/>
      <c r="Q25" s="196"/>
      <c r="R25" s="196"/>
      <c r="S25" s="196"/>
      <c r="T25" s="196"/>
      <c r="U25" s="196"/>
      <c r="V25" s="64"/>
      <c r="W25" s="64"/>
      <c r="X25" s="197"/>
      <c r="Y25" s="197"/>
      <c r="Z25" s="197"/>
      <c r="AA25" s="197"/>
      <c r="AB25" s="197"/>
      <c r="AC25" s="197"/>
      <c r="AD25" s="197"/>
      <c r="AE25" s="1"/>
      <c r="AF25" s="197"/>
      <c r="AG25" s="197"/>
      <c r="AH25" s="197"/>
      <c r="AI25" s="197"/>
      <c r="AJ25" s="197"/>
      <c r="AK25" s="197"/>
      <c r="AL25" s="5"/>
      <c r="AM25" s="5"/>
    </row>
    <row r="26" spans="1:39">
      <c r="A26" s="35"/>
      <c r="B26" s="35"/>
      <c r="C26" s="35"/>
      <c r="D26" s="40" t="s">
        <v>319</v>
      </c>
      <c r="E26" s="64">
        <v>435</v>
      </c>
      <c r="F26" s="64">
        <v>-172</v>
      </c>
      <c r="G26" s="64">
        <v>-647</v>
      </c>
      <c r="H26" s="64">
        <v>-913</v>
      </c>
      <c r="I26" s="64">
        <v>-2061</v>
      </c>
      <c r="J26" s="64">
        <v>-2922</v>
      </c>
      <c r="K26" s="64">
        <v>-3136</v>
      </c>
      <c r="L26" s="64">
        <v>-3565</v>
      </c>
      <c r="M26" s="64">
        <v>-1758</v>
      </c>
      <c r="N26" s="64">
        <v>-4583</v>
      </c>
      <c r="O26" s="200">
        <v>-3812</v>
      </c>
      <c r="P26" s="200">
        <v>-6794</v>
      </c>
      <c r="Q26" s="200">
        <v>-6785</v>
      </c>
      <c r="R26" s="198"/>
      <c r="S26" s="198"/>
      <c r="T26" s="64">
        <v>-87</v>
      </c>
      <c r="U26" s="64">
        <v>233</v>
      </c>
      <c r="V26" s="64">
        <v>-899</v>
      </c>
      <c r="W26" s="64">
        <v>-1005</v>
      </c>
      <c r="X26" s="5">
        <v>-1146</v>
      </c>
      <c r="Y26" s="5">
        <v>-1204</v>
      </c>
      <c r="Z26" s="5">
        <v>-800</v>
      </c>
      <c r="AA26" s="5">
        <v>-1433</v>
      </c>
      <c r="AB26" s="5">
        <v>-1280</v>
      </c>
      <c r="AC26" s="5">
        <v>-1021</v>
      </c>
      <c r="AD26" s="5">
        <v>-1252</v>
      </c>
      <c r="AE26" s="5">
        <v>-259</v>
      </c>
      <c r="AF26" s="5">
        <v>-1409</v>
      </c>
      <c r="AG26" s="5">
        <v>-1833</v>
      </c>
      <c r="AH26" s="5">
        <v>-1503</v>
      </c>
      <c r="AI26" s="5">
        <v>-2049</v>
      </c>
      <c r="AJ26" s="5">
        <v>-1511</v>
      </c>
      <c r="AK26" s="5">
        <v>-2168</v>
      </c>
      <c r="AL26" s="5">
        <v>-1698</v>
      </c>
      <c r="AM26" s="5">
        <v>-1408</v>
      </c>
    </row>
    <row r="27" spans="1:39">
      <c r="A27" s="35"/>
      <c r="B27" s="35"/>
      <c r="C27" s="35"/>
      <c r="D27" s="52" t="s">
        <v>320</v>
      </c>
      <c r="E27" s="67">
        <v>-480</v>
      </c>
      <c r="F27" s="67">
        <v>960</v>
      </c>
      <c r="G27" s="67">
        <v>508</v>
      </c>
      <c r="H27" s="67">
        <v>4476</v>
      </c>
      <c r="I27" s="67">
        <v>7460</v>
      </c>
      <c r="J27" s="67">
        <v>10225</v>
      </c>
      <c r="K27" s="67">
        <v>9781</v>
      </c>
      <c r="L27" s="67">
        <v>9603</v>
      </c>
      <c r="M27" s="67">
        <v>7308</v>
      </c>
      <c r="N27" s="67">
        <v>14177</v>
      </c>
      <c r="O27" s="68">
        <v>17003</v>
      </c>
      <c r="P27" s="68">
        <v>14066</v>
      </c>
      <c r="Q27" s="68">
        <v>15934</v>
      </c>
      <c r="R27" s="198"/>
      <c r="S27" s="198"/>
      <c r="T27" s="67">
        <v>596</v>
      </c>
      <c r="U27" s="67">
        <v>-1767</v>
      </c>
      <c r="V27" s="67">
        <v>2933</v>
      </c>
      <c r="W27" s="67">
        <v>5546</v>
      </c>
      <c r="X27" s="103">
        <v>6463</v>
      </c>
      <c r="Y27" s="103">
        <v>3164</v>
      </c>
      <c r="Z27" s="103">
        <v>2292</v>
      </c>
      <c r="AA27" s="103">
        <v>2258</v>
      </c>
      <c r="AB27" s="103">
        <v>4503</v>
      </c>
      <c r="AC27" s="103">
        <v>8978</v>
      </c>
      <c r="AD27" s="103">
        <v>665</v>
      </c>
      <c r="AE27" s="103">
        <v>2857</v>
      </c>
      <c r="AF27" s="103">
        <v>3975</v>
      </c>
      <c r="AG27" s="103">
        <v>3540</v>
      </c>
      <c r="AH27" s="103">
        <v>3219</v>
      </c>
      <c r="AI27" s="103">
        <v>3332</v>
      </c>
      <c r="AJ27" s="103">
        <v>3587</v>
      </c>
      <c r="AK27" s="103">
        <v>5654</v>
      </c>
      <c r="AL27" s="103">
        <v>4356</v>
      </c>
      <c r="AM27" s="103">
        <v>2337</v>
      </c>
    </row>
    <row r="28" spans="1:39">
      <c r="A28" s="35"/>
      <c r="B28" s="35"/>
      <c r="C28" s="35"/>
      <c r="D28" s="40"/>
      <c r="E28" s="64"/>
      <c r="F28" s="64"/>
      <c r="G28" s="64"/>
      <c r="H28" s="196"/>
      <c r="I28" s="196"/>
      <c r="J28" s="196"/>
      <c r="K28" s="196"/>
      <c r="L28" s="196"/>
      <c r="M28" s="64"/>
      <c r="N28" s="196"/>
      <c r="O28" s="64"/>
      <c r="P28" s="196"/>
      <c r="Q28" s="196"/>
      <c r="R28" s="198"/>
      <c r="S28" s="198"/>
      <c r="T28" s="64"/>
      <c r="U28" s="64"/>
      <c r="V28" s="64"/>
      <c r="W28" s="64"/>
      <c r="X28" s="5"/>
      <c r="Y28" s="5"/>
      <c r="Z28" s="5"/>
      <c r="AA28" s="5"/>
      <c r="AB28" s="5"/>
      <c r="AC28" s="5"/>
      <c r="AD28" s="5"/>
      <c r="AE28" s="1"/>
      <c r="AF28" s="5"/>
      <c r="AG28" s="197"/>
      <c r="AH28" s="197"/>
      <c r="AI28" s="197"/>
      <c r="AJ28" s="197"/>
      <c r="AK28" s="197"/>
      <c r="AL28" s="5"/>
      <c r="AM28" s="5"/>
    </row>
    <row r="29" spans="1:39">
      <c r="A29" s="35"/>
      <c r="B29" s="35"/>
      <c r="C29" s="35"/>
      <c r="D29" s="40" t="s">
        <v>321</v>
      </c>
      <c r="E29" s="64"/>
      <c r="F29" s="64"/>
      <c r="G29" s="64"/>
      <c r="H29" s="196"/>
      <c r="I29" s="196"/>
      <c r="J29" s="196"/>
      <c r="K29" s="196"/>
      <c r="L29" s="196"/>
      <c r="M29" s="64"/>
      <c r="N29" s="196"/>
      <c r="O29" s="64"/>
      <c r="P29" s="196"/>
      <c r="Q29" s="196"/>
      <c r="R29" s="198"/>
      <c r="S29" s="198"/>
      <c r="T29" s="64"/>
      <c r="U29" s="64"/>
      <c r="V29" s="64"/>
      <c r="W29" s="64"/>
      <c r="X29" s="5"/>
      <c r="Y29" s="5"/>
      <c r="Z29" s="5"/>
      <c r="AA29" s="5"/>
      <c r="AB29" s="5"/>
      <c r="AC29" s="5"/>
      <c r="AD29" s="5"/>
      <c r="AE29" s="1"/>
      <c r="AF29" s="5"/>
      <c r="AG29" s="197"/>
      <c r="AH29" s="197"/>
      <c r="AI29" s="197"/>
      <c r="AJ29" s="197"/>
      <c r="AK29" s="197"/>
      <c r="AL29" s="5"/>
      <c r="AM29" s="5"/>
    </row>
    <row r="30" spans="1:39">
      <c r="A30" s="35"/>
      <c r="B30" s="35"/>
      <c r="C30" s="35"/>
      <c r="D30" s="40" t="s">
        <v>322</v>
      </c>
      <c r="E30" s="64">
        <v>-530</v>
      </c>
      <c r="F30" s="64">
        <v>960</v>
      </c>
      <c r="G30" s="64">
        <v>540</v>
      </c>
      <c r="H30" s="64">
        <v>3130</v>
      </c>
      <c r="I30" s="64">
        <v>5944</v>
      </c>
      <c r="J30" s="64">
        <v>7960</v>
      </c>
      <c r="K30" s="64">
        <v>6840</v>
      </c>
      <c r="L30" s="64">
        <v>7115</v>
      </c>
      <c r="M30" s="64">
        <v>5594</v>
      </c>
      <c r="N30" s="64">
        <v>12546</v>
      </c>
      <c r="O30" s="64">
        <v>15577</v>
      </c>
      <c r="P30" s="64">
        <v>13053</v>
      </c>
      <c r="Q30" s="64">
        <v>15401</v>
      </c>
      <c r="R30" s="198"/>
      <c r="S30" s="198"/>
      <c r="T30" s="64">
        <v>586</v>
      </c>
      <c r="U30" s="64">
        <v>-2323</v>
      </c>
      <c r="V30" s="64">
        <v>2553</v>
      </c>
      <c r="W30" s="64">
        <v>4778</v>
      </c>
      <c r="X30" s="5">
        <v>5742</v>
      </c>
      <c r="Y30" s="5">
        <v>2502</v>
      </c>
      <c r="Z30" s="5">
        <v>2187</v>
      </c>
      <c r="AA30" s="5">
        <v>2115</v>
      </c>
      <c r="AB30" s="5">
        <v>3853</v>
      </c>
      <c r="AC30" s="5">
        <v>8935</v>
      </c>
      <c r="AD30" s="5">
        <v>333</v>
      </c>
      <c r="AE30" s="5">
        <v>2456</v>
      </c>
      <c r="AF30" s="5">
        <v>3611</v>
      </c>
      <c r="AG30" s="5">
        <v>3332</v>
      </c>
      <c r="AH30" s="5">
        <v>3001</v>
      </c>
      <c r="AI30" s="5">
        <v>3109</v>
      </c>
      <c r="AJ30" s="5">
        <v>3342</v>
      </c>
      <c r="AK30" s="5">
        <v>5348</v>
      </c>
      <c r="AL30" s="5">
        <v>4208</v>
      </c>
      <c r="AM30" s="5">
        <v>2503</v>
      </c>
    </row>
    <row r="31" spans="1:39" ht="15" thickBot="1">
      <c r="A31" s="35"/>
      <c r="B31" s="35"/>
      <c r="C31" s="35"/>
      <c r="D31" s="53" t="s">
        <v>323</v>
      </c>
      <c r="E31" s="69">
        <v>50</v>
      </c>
      <c r="F31" s="205" t="s">
        <v>124</v>
      </c>
      <c r="G31" s="69">
        <v>-32</v>
      </c>
      <c r="H31" s="69">
        <v>1346</v>
      </c>
      <c r="I31" s="69">
        <v>1516</v>
      </c>
      <c r="J31" s="69">
        <v>2265</v>
      </c>
      <c r="K31" s="69">
        <v>2941</v>
      </c>
      <c r="L31" s="69">
        <v>2488</v>
      </c>
      <c r="M31" s="69">
        <v>1714</v>
      </c>
      <c r="N31" s="69">
        <v>1631</v>
      </c>
      <c r="O31" s="69">
        <v>1426</v>
      </c>
      <c r="P31" s="69">
        <v>1013</v>
      </c>
      <c r="Q31" s="69">
        <v>533</v>
      </c>
      <c r="R31" s="198"/>
      <c r="S31" s="198"/>
      <c r="T31" s="69">
        <v>10</v>
      </c>
      <c r="U31" s="69">
        <v>556</v>
      </c>
      <c r="V31" s="69">
        <v>380</v>
      </c>
      <c r="W31" s="69">
        <v>768</v>
      </c>
      <c r="X31" s="104">
        <v>721</v>
      </c>
      <c r="Y31" s="104">
        <v>662</v>
      </c>
      <c r="Z31" s="104">
        <v>105</v>
      </c>
      <c r="AA31" s="104">
        <v>143</v>
      </c>
      <c r="AB31" s="104">
        <v>650</v>
      </c>
      <c r="AC31" s="104">
        <v>43</v>
      </c>
      <c r="AD31" s="104">
        <v>332</v>
      </c>
      <c r="AE31" s="104">
        <v>401</v>
      </c>
      <c r="AF31" s="104">
        <v>364</v>
      </c>
      <c r="AG31" s="104">
        <v>208</v>
      </c>
      <c r="AH31" s="104">
        <v>218</v>
      </c>
      <c r="AI31" s="104">
        <v>223</v>
      </c>
      <c r="AJ31" s="104">
        <v>245</v>
      </c>
      <c r="AK31" s="104">
        <v>306</v>
      </c>
      <c r="AL31" s="104">
        <v>148</v>
      </c>
      <c r="AM31" s="104">
        <v>-166</v>
      </c>
    </row>
    <row r="32" spans="1:39" ht="15" thickTop="1">
      <c r="A32" s="35"/>
      <c r="B32" s="35"/>
      <c r="C32" s="35"/>
      <c r="D32" s="40"/>
      <c r="E32" s="67">
        <v>-480</v>
      </c>
      <c r="F32" s="67">
        <v>960</v>
      </c>
      <c r="G32" s="67">
        <v>508</v>
      </c>
      <c r="H32" s="67">
        <v>4476</v>
      </c>
      <c r="I32" s="67">
        <v>7460</v>
      </c>
      <c r="J32" s="67">
        <v>10225</v>
      </c>
      <c r="K32" s="67">
        <v>9781</v>
      </c>
      <c r="L32" s="67">
        <v>9603</v>
      </c>
      <c r="M32" s="67">
        <v>7308</v>
      </c>
      <c r="N32" s="67">
        <v>14177</v>
      </c>
      <c r="O32" s="68">
        <v>17003</v>
      </c>
      <c r="P32" s="68">
        <v>14066</v>
      </c>
      <c r="Q32" s="68">
        <v>15934</v>
      </c>
      <c r="R32" s="198"/>
      <c r="S32" s="198"/>
      <c r="T32" s="68">
        <v>596</v>
      </c>
      <c r="U32" s="68">
        <v>-1767</v>
      </c>
      <c r="V32" s="68">
        <v>2933</v>
      </c>
      <c r="W32" s="68">
        <v>5546</v>
      </c>
      <c r="X32" s="7">
        <v>6463</v>
      </c>
      <c r="Y32" s="7">
        <v>3164</v>
      </c>
      <c r="Z32" s="7">
        <v>2292</v>
      </c>
      <c r="AA32" s="7">
        <v>2258</v>
      </c>
      <c r="AB32" s="7">
        <v>4503</v>
      </c>
      <c r="AC32" s="7">
        <v>8978</v>
      </c>
      <c r="AD32" s="7">
        <v>665</v>
      </c>
      <c r="AE32" s="7">
        <v>2857</v>
      </c>
      <c r="AF32" s="7">
        <v>3975</v>
      </c>
      <c r="AG32" s="7">
        <v>3540</v>
      </c>
      <c r="AH32" s="7">
        <v>3219</v>
      </c>
      <c r="AI32" s="7">
        <v>3332</v>
      </c>
      <c r="AJ32" s="7">
        <v>3587</v>
      </c>
      <c r="AK32" s="7">
        <v>5654</v>
      </c>
      <c r="AL32" s="7">
        <v>4356</v>
      </c>
      <c r="AM32" s="7">
        <v>2337</v>
      </c>
    </row>
    <row r="33" spans="1:39">
      <c r="A33" s="35"/>
      <c r="B33" s="35"/>
      <c r="C33" s="35"/>
      <c r="D33" s="40"/>
      <c r="E33" s="64"/>
      <c r="F33" s="64"/>
      <c r="G33" s="64"/>
      <c r="H33" s="68"/>
      <c r="I33" s="68"/>
      <c r="J33" s="64"/>
      <c r="K33" s="64"/>
      <c r="L33" s="64"/>
      <c r="M33" s="64"/>
      <c r="N33" s="64"/>
      <c r="O33" s="64"/>
      <c r="P33" s="64"/>
      <c r="Q33" s="64"/>
      <c r="R33" s="198"/>
      <c r="S33" s="198"/>
      <c r="T33" s="198"/>
      <c r="U33" s="198"/>
      <c r="V33" s="64"/>
      <c r="W33" s="64"/>
      <c r="X33" s="198"/>
      <c r="Y33" s="198"/>
      <c r="Z33" s="198"/>
      <c r="AA33" s="198"/>
      <c r="AB33" s="1"/>
      <c r="AC33" s="1"/>
      <c r="AD33" s="1"/>
      <c r="AE33" s="1"/>
      <c r="AF33" s="1"/>
      <c r="AG33" s="197"/>
      <c r="AH33" s="197"/>
      <c r="AI33" s="197"/>
      <c r="AJ33" s="197"/>
      <c r="AK33" s="197"/>
      <c r="AL33" s="197"/>
      <c r="AM33" s="197"/>
    </row>
    <row r="34" spans="1:39">
      <c r="A34" s="35"/>
      <c r="B34" s="35"/>
      <c r="C34" s="35"/>
      <c r="D34" s="40"/>
      <c r="E34" s="64"/>
      <c r="F34" s="64"/>
      <c r="G34" s="64"/>
      <c r="H34" s="68"/>
      <c r="I34" s="68"/>
      <c r="J34" s="64"/>
      <c r="K34" s="64"/>
      <c r="L34" s="64"/>
      <c r="M34" s="64"/>
      <c r="N34" s="64"/>
      <c r="O34" s="64"/>
      <c r="P34" s="64"/>
      <c r="Q34" s="64"/>
      <c r="R34" s="198"/>
      <c r="S34" s="198"/>
      <c r="T34" s="198"/>
      <c r="U34" s="198"/>
      <c r="V34" s="64"/>
      <c r="W34" s="64"/>
      <c r="X34" s="198"/>
      <c r="Y34" s="198"/>
      <c r="Z34" s="198"/>
      <c r="AA34" s="198"/>
      <c r="AB34" s="1"/>
      <c r="AC34" s="1"/>
      <c r="AD34" s="1"/>
      <c r="AE34" s="1"/>
      <c r="AF34" s="1"/>
      <c r="AG34" s="197"/>
      <c r="AH34" s="197"/>
      <c r="AI34" s="197"/>
      <c r="AJ34" s="197"/>
      <c r="AK34" s="197"/>
      <c r="AL34" s="197"/>
      <c r="AM34" s="197"/>
    </row>
    <row r="35" spans="1:39">
      <c r="A35" s="35"/>
      <c r="B35" s="35"/>
      <c r="C35" s="35"/>
      <c r="D35" s="43"/>
      <c r="E35" s="64"/>
      <c r="F35" s="64"/>
      <c r="G35" s="64"/>
      <c r="H35" s="64"/>
      <c r="I35" s="64"/>
      <c r="J35" s="64"/>
      <c r="K35" s="64"/>
      <c r="L35" s="76"/>
      <c r="M35" s="76"/>
      <c r="N35" s="76"/>
      <c r="O35" s="64"/>
      <c r="P35" s="64"/>
      <c r="Q35" s="64"/>
      <c r="R35" s="198"/>
      <c r="S35" s="198"/>
      <c r="T35" s="198"/>
      <c r="U35" s="198"/>
      <c r="V35" s="64"/>
      <c r="W35" s="64"/>
      <c r="X35" s="198"/>
      <c r="Y35" s="198"/>
      <c r="Z35" s="198"/>
      <c r="AA35" s="198"/>
      <c r="AB35" s="1"/>
      <c r="AC35" s="1"/>
      <c r="AD35" s="1"/>
      <c r="AE35" s="1"/>
      <c r="AF35" s="1"/>
      <c r="AG35" s="197"/>
      <c r="AH35" s="197"/>
      <c r="AI35" s="197"/>
      <c r="AJ35" s="197"/>
      <c r="AK35" s="197"/>
      <c r="AL35" s="197"/>
      <c r="AM35" s="197"/>
    </row>
    <row r="36" spans="1:39" ht="44.25" customHeight="1">
      <c r="A36" s="35"/>
      <c r="B36" s="35"/>
      <c r="C36" s="35"/>
      <c r="D36" s="50" t="s">
        <v>132</v>
      </c>
      <c r="E36" s="64"/>
      <c r="F36" s="64"/>
      <c r="G36" s="64"/>
      <c r="H36" s="64"/>
      <c r="I36" s="64"/>
      <c r="J36" s="64"/>
      <c r="K36" s="64"/>
      <c r="L36" s="76"/>
      <c r="M36" s="76"/>
      <c r="N36" s="76"/>
      <c r="O36" s="64"/>
      <c r="P36" s="64"/>
      <c r="Q36" s="64"/>
      <c r="R36" s="198"/>
      <c r="S36" s="198"/>
      <c r="T36" s="198"/>
      <c r="U36" s="198"/>
      <c r="V36" s="64"/>
      <c r="W36" s="64"/>
      <c r="X36" s="198"/>
      <c r="Y36" s="198"/>
      <c r="Z36" s="198"/>
      <c r="AA36" s="198"/>
      <c r="AB36" s="1"/>
      <c r="AC36" s="1"/>
      <c r="AD36" s="1"/>
      <c r="AE36" s="1"/>
      <c r="AF36" s="1"/>
      <c r="AG36" s="197"/>
      <c r="AH36" s="197"/>
      <c r="AI36" s="197"/>
      <c r="AJ36" s="197"/>
      <c r="AK36" s="197"/>
      <c r="AL36" s="197"/>
      <c r="AM36" s="197"/>
    </row>
    <row r="37" spans="1:39" ht="45.5">
      <c r="A37" s="35"/>
      <c r="B37" s="35"/>
      <c r="C37" s="35"/>
      <c r="D37" s="50" t="s">
        <v>133</v>
      </c>
      <c r="E37" s="63"/>
      <c r="F37" s="63"/>
      <c r="G37" s="63"/>
      <c r="H37" s="63"/>
      <c r="I37" s="63"/>
      <c r="J37" s="63"/>
      <c r="K37" s="63"/>
      <c r="L37" s="63"/>
      <c r="M37" s="70"/>
      <c r="N37" s="70"/>
      <c r="O37" s="64"/>
      <c r="P37" s="64"/>
      <c r="Q37" s="64"/>
      <c r="R37" s="57"/>
      <c r="S37" s="57"/>
      <c r="T37" s="57"/>
      <c r="U37" s="57"/>
      <c r="V37" s="63"/>
      <c r="W37" s="63"/>
      <c r="X37" s="57"/>
      <c r="Y37" s="57"/>
      <c r="Z37" s="57"/>
      <c r="AA37" s="57"/>
    </row>
    <row r="38" spans="1:39" ht="16.5">
      <c r="A38" s="35"/>
      <c r="B38" s="35"/>
      <c r="C38" s="35"/>
      <c r="D38" s="50" t="s">
        <v>134</v>
      </c>
      <c r="E38" s="63"/>
      <c r="F38" s="63"/>
      <c r="G38" s="63"/>
      <c r="H38" s="63"/>
      <c r="I38" s="63"/>
      <c r="J38" s="63"/>
      <c r="K38" s="63"/>
      <c r="L38" s="63"/>
      <c r="M38" s="70"/>
      <c r="N38" s="70"/>
      <c r="O38" s="64"/>
      <c r="P38" s="64"/>
      <c r="Q38" s="64"/>
      <c r="R38" s="57"/>
      <c r="S38" s="57"/>
      <c r="T38" s="57"/>
      <c r="U38" s="57"/>
      <c r="V38" s="63"/>
      <c r="W38" s="63"/>
      <c r="X38" s="57"/>
      <c r="Y38" s="57"/>
      <c r="Z38" s="57"/>
      <c r="AA38" s="57"/>
    </row>
    <row r="39" spans="1:39" ht="31">
      <c r="A39" s="35"/>
      <c r="B39" s="35"/>
      <c r="C39" s="35"/>
      <c r="D39" s="50" t="s">
        <v>135</v>
      </c>
      <c r="E39" s="63"/>
      <c r="F39" s="63"/>
      <c r="G39" s="63"/>
      <c r="H39" s="63"/>
      <c r="I39" s="63"/>
      <c r="J39" s="63"/>
      <c r="K39" s="63"/>
      <c r="L39" s="63"/>
      <c r="M39" s="70"/>
      <c r="N39" s="70"/>
      <c r="O39" s="64"/>
      <c r="P39" s="64"/>
      <c r="Q39" s="64"/>
      <c r="R39" s="57"/>
      <c r="S39" s="57"/>
      <c r="T39" s="57"/>
      <c r="U39" s="57"/>
      <c r="V39" s="63"/>
      <c r="W39" s="63"/>
      <c r="X39" s="57"/>
      <c r="Y39" s="57"/>
      <c r="Z39" s="57"/>
      <c r="AA39" s="57"/>
    </row>
    <row r="40" spans="1:39" ht="31">
      <c r="A40" s="35"/>
      <c r="B40" s="35"/>
      <c r="C40" s="35"/>
      <c r="D40" s="50" t="s">
        <v>136</v>
      </c>
      <c r="E40" s="63"/>
      <c r="F40" s="63"/>
      <c r="G40" s="63"/>
      <c r="H40" s="63"/>
      <c r="I40" s="63"/>
      <c r="J40" s="63"/>
      <c r="K40" s="63"/>
      <c r="L40" s="63"/>
      <c r="M40" s="70"/>
      <c r="N40" s="70"/>
      <c r="O40" s="64"/>
      <c r="P40" s="64"/>
      <c r="Q40" s="64"/>
      <c r="R40" s="57"/>
      <c r="S40" s="57"/>
      <c r="T40" s="57"/>
      <c r="U40" s="57"/>
      <c r="V40" s="63"/>
      <c r="W40" s="63"/>
      <c r="X40" s="57"/>
      <c r="Y40" s="57"/>
      <c r="Z40" s="57"/>
      <c r="AA40" s="57"/>
    </row>
    <row r="41" spans="1:39" ht="60">
      <c r="A41" s="35"/>
      <c r="B41" s="35"/>
      <c r="C41" s="35"/>
      <c r="D41" s="50" t="s">
        <v>324</v>
      </c>
      <c r="E41" s="63"/>
      <c r="F41" s="63"/>
      <c r="G41" s="63"/>
      <c r="H41" s="63"/>
      <c r="I41" s="63"/>
      <c r="J41" s="63"/>
      <c r="K41" s="63"/>
      <c r="L41" s="63"/>
      <c r="M41" s="70"/>
      <c r="N41" s="70"/>
      <c r="O41" s="64"/>
      <c r="P41" s="64"/>
      <c r="Q41" s="64"/>
      <c r="R41" s="57"/>
      <c r="S41" s="57"/>
      <c r="T41" s="57"/>
      <c r="U41" s="57"/>
      <c r="V41" s="63"/>
      <c r="W41" s="63"/>
      <c r="X41" s="57"/>
      <c r="Y41" s="57"/>
      <c r="Z41" s="57"/>
      <c r="AA41" s="57"/>
    </row>
    <row r="42" spans="1:39" ht="31">
      <c r="A42" s="35"/>
      <c r="B42" s="35"/>
      <c r="C42" s="35"/>
      <c r="D42" s="105" t="s">
        <v>325</v>
      </c>
      <c r="E42" s="63"/>
      <c r="F42" s="63"/>
      <c r="G42" s="63"/>
      <c r="H42" s="63"/>
      <c r="I42" s="63"/>
      <c r="J42" s="63"/>
      <c r="K42" s="63"/>
      <c r="L42" s="63"/>
      <c r="M42" s="70"/>
      <c r="N42" s="70"/>
      <c r="O42" s="64"/>
      <c r="P42" s="64"/>
      <c r="Q42" s="64"/>
      <c r="R42" s="57"/>
      <c r="S42" s="57"/>
      <c r="T42" s="57"/>
      <c r="U42" s="57"/>
      <c r="V42" s="63"/>
      <c r="W42" s="63"/>
      <c r="X42" s="57"/>
      <c r="Y42" s="57"/>
      <c r="Z42" s="57"/>
      <c r="AA42" s="57"/>
    </row>
    <row r="43" spans="1:39" ht="103.5">
      <c r="A43" s="35"/>
      <c r="B43" s="35"/>
      <c r="C43" s="35"/>
      <c r="D43" s="105" t="s">
        <v>326</v>
      </c>
      <c r="E43" s="63"/>
      <c r="F43" s="63"/>
      <c r="G43" s="63"/>
      <c r="H43" s="63"/>
      <c r="I43" s="63"/>
      <c r="J43" s="63"/>
      <c r="K43" s="63"/>
      <c r="L43" s="63"/>
      <c r="M43" s="63"/>
      <c r="N43" s="63"/>
      <c r="O43" s="64"/>
      <c r="P43" s="64"/>
      <c r="Q43" s="64"/>
      <c r="R43" s="57"/>
      <c r="S43" s="57"/>
      <c r="T43" s="57"/>
      <c r="U43" s="57"/>
      <c r="V43" s="63"/>
      <c r="W43" s="63"/>
      <c r="X43" s="57"/>
      <c r="Y43" s="57"/>
      <c r="Z43" s="57"/>
      <c r="AA43" s="57"/>
    </row>
    <row r="44" spans="1:39" ht="45.5">
      <c r="A44" s="35"/>
      <c r="B44" s="35"/>
      <c r="C44" s="35"/>
      <c r="D44" s="105" t="s">
        <v>327</v>
      </c>
      <c r="E44" s="63"/>
      <c r="F44" s="63"/>
      <c r="G44" s="63"/>
      <c r="H44" s="63"/>
      <c r="I44" s="63"/>
      <c r="J44" s="63"/>
      <c r="K44" s="63"/>
      <c r="L44" s="63"/>
      <c r="M44" s="63"/>
      <c r="N44" s="63"/>
      <c r="O44" s="64"/>
      <c r="P44" s="64"/>
      <c r="Q44" s="64"/>
      <c r="R44" s="57"/>
      <c r="S44" s="57"/>
      <c r="T44" s="57"/>
      <c r="U44" s="57"/>
      <c r="V44" s="63"/>
      <c r="W44" s="63"/>
      <c r="X44" s="57"/>
      <c r="Y44" s="57"/>
      <c r="Z44" s="57"/>
      <c r="AA44" s="57"/>
    </row>
    <row r="45" spans="1:39">
      <c r="A45" s="35"/>
      <c r="B45" s="35"/>
      <c r="C45" s="35"/>
      <c r="D45" s="105"/>
      <c r="E45" s="63"/>
      <c r="F45" s="63"/>
      <c r="G45" s="63"/>
      <c r="H45" s="63"/>
      <c r="I45" s="63"/>
      <c r="J45" s="63"/>
      <c r="K45" s="63"/>
      <c r="L45" s="63"/>
      <c r="M45" s="63"/>
      <c r="N45" s="63"/>
      <c r="O45" s="64"/>
      <c r="P45" s="64"/>
      <c r="Q45" s="64"/>
      <c r="R45" s="57"/>
      <c r="S45" s="57"/>
      <c r="T45" s="57"/>
      <c r="U45" s="57"/>
      <c r="V45" s="63"/>
      <c r="W45" s="63"/>
      <c r="X45" s="57"/>
      <c r="Y45" s="57"/>
      <c r="Z45" s="57"/>
      <c r="AA45" s="57"/>
    </row>
    <row r="46" spans="1:39">
      <c r="A46" s="35"/>
      <c r="B46" s="35"/>
      <c r="C46" s="35"/>
      <c r="D46" s="40"/>
      <c r="E46" s="63"/>
      <c r="F46" s="63"/>
      <c r="G46" s="63"/>
      <c r="H46" s="63"/>
      <c r="I46" s="63"/>
      <c r="J46" s="63"/>
      <c r="K46" s="63"/>
      <c r="L46" s="63"/>
      <c r="M46" s="63"/>
      <c r="N46" s="63"/>
      <c r="O46" s="64"/>
      <c r="P46" s="64"/>
      <c r="Q46" s="64"/>
      <c r="R46" s="57"/>
      <c r="S46" s="57"/>
      <c r="T46" s="57"/>
      <c r="U46" s="57"/>
      <c r="V46" s="63"/>
      <c r="W46" s="63"/>
      <c r="X46" s="57"/>
      <c r="Y46" s="57"/>
      <c r="Z46" s="57"/>
      <c r="AA46" s="57"/>
    </row>
    <row r="47" spans="1:39">
      <c r="A47" s="35"/>
      <c r="B47" s="35"/>
      <c r="C47" s="35"/>
      <c r="D47" s="40"/>
      <c r="E47" s="63"/>
      <c r="F47" s="63"/>
      <c r="G47" s="63"/>
      <c r="H47" s="63"/>
      <c r="I47" s="63"/>
      <c r="J47" s="63"/>
      <c r="K47" s="63"/>
      <c r="L47" s="63"/>
      <c r="M47" s="63"/>
      <c r="N47" s="63"/>
      <c r="O47" s="64"/>
      <c r="P47" s="64"/>
      <c r="Q47" s="64"/>
      <c r="R47" s="57"/>
      <c r="S47" s="57"/>
      <c r="T47" s="57"/>
      <c r="U47" s="57"/>
      <c r="V47" s="63"/>
      <c r="W47" s="63"/>
      <c r="X47" s="57"/>
      <c r="Y47" s="57"/>
      <c r="Z47" s="57"/>
      <c r="AA47" s="57"/>
    </row>
    <row r="48" spans="1:39">
      <c r="A48" s="35"/>
      <c r="B48" s="35"/>
      <c r="C48" s="35"/>
      <c r="D48" s="40"/>
      <c r="E48" s="63"/>
      <c r="F48" s="63"/>
      <c r="G48" s="63"/>
      <c r="H48" s="63"/>
      <c r="I48" s="63"/>
      <c r="J48" s="63"/>
      <c r="K48" s="63"/>
      <c r="L48" s="63"/>
      <c r="M48" s="63"/>
      <c r="N48" s="63"/>
      <c r="O48" s="64"/>
      <c r="P48" s="64"/>
      <c r="Q48" s="64"/>
      <c r="R48" s="57"/>
      <c r="S48" s="57"/>
      <c r="T48" s="57"/>
      <c r="U48" s="57"/>
      <c r="V48" s="63"/>
      <c r="W48" s="63"/>
      <c r="X48" s="57"/>
      <c r="Y48" s="57"/>
      <c r="Z48" s="57"/>
      <c r="AA48" s="57"/>
    </row>
    <row r="49" spans="1:27">
      <c r="A49" s="35"/>
      <c r="B49" s="35"/>
      <c r="C49" s="35"/>
      <c r="D49" s="40"/>
      <c r="E49" s="63"/>
      <c r="F49" s="63"/>
      <c r="G49" s="63"/>
      <c r="H49" s="63"/>
      <c r="I49" s="63"/>
      <c r="J49" s="63"/>
      <c r="K49" s="63"/>
      <c r="L49" s="63"/>
      <c r="M49" s="63"/>
      <c r="N49" s="63"/>
      <c r="O49" s="64"/>
      <c r="P49" s="64"/>
      <c r="Q49" s="64"/>
      <c r="R49" s="57"/>
      <c r="S49" s="57"/>
      <c r="T49" s="57"/>
      <c r="U49" s="57"/>
      <c r="V49" s="63"/>
      <c r="W49" s="63"/>
      <c r="X49" s="57"/>
      <c r="Y49" s="57"/>
      <c r="Z49" s="57"/>
      <c r="AA49" s="57"/>
    </row>
    <row r="50" spans="1:27">
      <c r="A50" s="35"/>
      <c r="B50" s="35"/>
      <c r="C50" s="35"/>
      <c r="D50" s="40"/>
      <c r="E50" s="63"/>
      <c r="F50" s="63"/>
      <c r="G50" s="63"/>
      <c r="H50" s="63"/>
      <c r="I50" s="63"/>
      <c r="J50" s="63"/>
      <c r="K50" s="63"/>
      <c r="L50" s="63"/>
      <c r="M50" s="63"/>
      <c r="N50" s="63"/>
      <c r="O50" s="64"/>
      <c r="P50" s="64"/>
      <c r="Q50" s="64"/>
      <c r="R50" s="57"/>
      <c r="S50" s="57"/>
      <c r="T50" s="57"/>
      <c r="U50" s="57"/>
      <c r="V50" s="63"/>
      <c r="W50" s="63"/>
      <c r="X50" s="57"/>
      <c r="Y50" s="57"/>
      <c r="Z50" s="57"/>
      <c r="AA50" s="57"/>
    </row>
    <row r="51" spans="1:27">
      <c r="A51" s="35"/>
      <c r="B51" s="35"/>
      <c r="C51" s="35"/>
      <c r="D51" s="40"/>
      <c r="E51" s="63"/>
      <c r="F51" s="63"/>
      <c r="G51" s="63"/>
      <c r="H51" s="63"/>
      <c r="I51" s="63"/>
      <c r="J51" s="63"/>
      <c r="K51" s="63"/>
      <c r="L51" s="63"/>
      <c r="M51" s="63"/>
      <c r="N51" s="63"/>
      <c r="O51" s="64"/>
      <c r="P51" s="64"/>
      <c r="Q51" s="64"/>
      <c r="R51" s="57"/>
      <c r="S51" s="57"/>
      <c r="T51" s="57"/>
      <c r="U51" s="57"/>
      <c r="V51" s="63"/>
      <c r="W51" s="63"/>
      <c r="X51" s="57"/>
      <c r="Y51" s="57"/>
      <c r="Z51" s="57"/>
      <c r="AA51" s="57"/>
    </row>
    <row r="52" spans="1:27">
      <c r="A52" s="35"/>
      <c r="B52" s="35"/>
      <c r="C52" s="35"/>
      <c r="D52" s="40"/>
      <c r="E52" s="63"/>
      <c r="F52" s="63"/>
      <c r="G52" s="63"/>
      <c r="H52" s="63"/>
      <c r="I52" s="63"/>
      <c r="J52" s="63"/>
      <c r="K52" s="63"/>
      <c r="L52" s="63"/>
      <c r="M52" s="63"/>
      <c r="N52" s="63"/>
      <c r="O52" s="64"/>
      <c r="P52" s="64"/>
      <c r="Q52" s="64"/>
      <c r="R52" s="57"/>
      <c r="S52" s="57"/>
      <c r="T52" s="57"/>
      <c r="U52" s="57"/>
      <c r="V52" s="63"/>
      <c r="W52" s="63"/>
      <c r="X52" s="57"/>
      <c r="Y52" s="57"/>
      <c r="Z52" s="57"/>
      <c r="AA52" s="57"/>
    </row>
    <row r="53" spans="1:27">
      <c r="A53" s="35"/>
      <c r="B53" s="35"/>
      <c r="C53" s="35"/>
      <c r="D53" s="40"/>
      <c r="E53" s="63"/>
      <c r="F53" s="63"/>
      <c r="G53" s="63"/>
      <c r="H53" s="63"/>
      <c r="I53" s="63"/>
      <c r="J53" s="63"/>
      <c r="K53" s="63"/>
      <c r="L53" s="63"/>
      <c r="M53" s="63"/>
      <c r="N53" s="63"/>
      <c r="O53" s="64"/>
      <c r="P53" s="64"/>
      <c r="Q53" s="64"/>
      <c r="R53" s="57"/>
      <c r="S53" s="57"/>
      <c r="T53" s="57"/>
      <c r="U53" s="57"/>
      <c r="V53" s="63"/>
      <c r="W53" s="63"/>
      <c r="X53" s="57"/>
      <c r="Y53" s="57"/>
      <c r="Z53" s="57"/>
      <c r="AA53" s="57"/>
    </row>
    <row r="54" spans="1:27">
      <c r="A54" s="35"/>
      <c r="B54" s="35"/>
      <c r="C54" s="35"/>
      <c r="D54" s="40"/>
      <c r="E54" s="63"/>
      <c r="F54" s="63"/>
      <c r="G54" s="63"/>
      <c r="H54" s="63"/>
      <c r="I54" s="63"/>
      <c r="J54" s="63"/>
      <c r="K54" s="63"/>
      <c r="L54" s="63"/>
      <c r="M54" s="63"/>
      <c r="N54" s="63"/>
      <c r="O54" s="64"/>
      <c r="P54" s="64"/>
      <c r="Q54" s="64"/>
      <c r="R54" s="57"/>
      <c r="S54" s="57"/>
      <c r="T54" s="57"/>
      <c r="U54" s="57"/>
      <c r="V54" s="63"/>
      <c r="W54" s="63"/>
      <c r="X54" s="57"/>
      <c r="Y54" s="57"/>
      <c r="Z54" s="57"/>
      <c r="AA54" s="57"/>
    </row>
    <row r="55" spans="1:27">
      <c r="A55" s="35"/>
      <c r="B55" s="35"/>
      <c r="C55" s="35"/>
      <c r="D55" s="40"/>
      <c r="E55" s="63"/>
      <c r="F55" s="63"/>
      <c r="G55" s="63"/>
      <c r="H55" s="63"/>
      <c r="I55" s="63"/>
      <c r="J55" s="63"/>
      <c r="K55" s="63"/>
      <c r="L55" s="63"/>
      <c r="M55" s="63"/>
      <c r="N55" s="63"/>
      <c r="O55" s="64"/>
      <c r="P55" s="64"/>
      <c r="Q55" s="64"/>
      <c r="R55" s="57"/>
      <c r="S55" s="57"/>
      <c r="T55" s="57"/>
      <c r="U55" s="57"/>
      <c r="V55" s="63"/>
      <c r="W55" s="63"/>
      <c r="X55" s="57"/>
      <c r="Y55" s="57"/>
      <c r="Z55" s="57"/>
      <c r="AA55" s="57"/>
    </row>
    <row r="56" spans="1:27">
      <c r="A56" s="35"/>
      <c r="B56" s="35"/>
      <c r="C56" s="35"/>
      <c r="D56" s="40"/>
      <c r="E56" s="63"/>
      <c r="F56" s="63"/>
      <c r="G56" s="63"/>
      <c r="H56" s="63"/>
      <c r="I56" s="63"/>
      <c r="J56" s="63"/>
      <c r="K56" s="63"/>
      <c r="L56" s="63"/>
      <c r="M56" s="63"/>
      <c r="N56" s="63"/>
      <c r="O56" s="64"/>
      <c r="P56" s="64"/>
      <c r="Q56" s="64"/>
      <c r="R56" s="57"/>
      <c r="S56" s="57"/>
      <c r="T56" s="57"/>
      <c r="U56" s="57"/>
      <c r="V56" s="63"/>
      <c r="W56" s="63"/>
      <c r="X56" s="57"/>
      <c r="Y56" s="57"/>
      <c r="Z56" s="57"/>
      <c r="AA56" s="57"/>
    </row>
    <row r="57" spans="1:27">
      <c r="A57" s="35"/>
      <c r="B57" s="35"/>
      <c r="C57" s="35"/>
      <c r="D57" s="40"/>
      <c r="E57" s="63"/>
      <c r="F57" s="63"/>
      <c r="G57" s="63"/>
      <c r="H57" s="63"/>
      <c r="I57" s="63"/>
      <c r="J57" s="63"/>
      <c r="K57" s="63"/>
      <c r="L57" s="63"/>
      <c r="M57" s="63"/>
      <c r="N57" s="63"/>
      <c r="O57" s="64"/>
      <c r="P57" s="64"/>
      <c r="Q57" s="64"/>
      <c r="R57" s="57"/>
      <c r="S57" s="57"/>
      <c r="T57" s="57"/>
      <c r="U57" s="57"/>
      <c r="V57" s="63"/>
      <c r="W57" s="63"/>
      <c r="X57" s="57"/>
      <c r="Y57" s="57"/>
      <c r="Z57" s="57"/>
      <c r="AA57" s="57"/>
    </row>
    <row r="58" spans="1:27">
      <c r="A58" s="35"/>
      <c r="B58" s="35"/>
      <c r="C58" s="35"/>
      <c r="D58" s="40"/>
      <c r="E58" s="63"/>
      <c r="F58" s="63"/>
      <c r="G58" s="63"/>
      <c r="H58" s="63"/>
      <c r="I58" s="63"/>
      <c r="J58" s="63"/>
      <c r="K58" s="63"/>
      <c r="L58" s="63"/>
      <c r="M58" s="63"/>
      <c r="N58" s="63"/>
      <c r="O58" s="64"/>
      <c r="P58" s="64"/>
      <c r="Q58" s="64"/>
      <c r="R58" s="57"/>
      <c r="S58" s="57"/>
      <c r="T58" s="57"/>
      <c r="U58" s="57"/>
      <c r="V58" s="63"/>
      <c r="W58" s="63"/>
      <c r="X58" s="57"/>
      <c r="Y58" s="57"/>
      <c r="Z58" s="57"/>
      <c r="AA58" s="57"/>
    </row>
    <row r="59" spans="1:27">
      <c r="A59" s="35"/>
      <c r="B59" s="35"/>
      <c r="C59" s="35"/>
      <c r="D59" s="40"/>
      <c r="E59" s="63"/>
      <c r="F59" s="63"/>
      <c r="G59" s="63"/>
      <c r="H59" s="63"/>
      <c r="I59" s="63"/>
      <c r="J59" s="63"/>
      <c r="K59" s="63"/>
      <c r="L59" s="63"/>
      <c r="M59" s="63"/>
      <c r="N59" s="63"/>
      <c r="O59" s="64"/>
      <c r="P59" s="64"/>
      <c r="Q59" s="64"/>
      <c r="R59" s="57"/>
      <c r="S59" s="57"/>
      <c r="T59" s="57"/>
      <c r="U59" s="57"/>
      <c r="V59" s="63"/>
      <c r="W59" s="63"/>
      <c r="X59" s="57"/>
      <c r="Y59" s="57"/>
      <c r="Z59" s="57"/>
      <c r="AA59" s="57"/>
    </row>
    <row r="60" spans="1:27">
      <c r="D60" s="4"/>
      <c r="E60" s="10"/>
      <c r="F60" s="10"/>
      <c r="G60" s="10"/>
      <c r="H60" s="10"/>
      <c r="I60" s="10"/>
      <c r="J60" s="10"/>
      <c r="K60" s="10"/>
      <c r="L60" s="10"/>
      <c r="N60" s="10"/>
      <c r="O60" s="6"/>
      <c r="P60" s="6"/>
      <c r="Q60" s="6"/>
    </row>
    <row r="61" spans="1:27">
      <c r="D61" s="4"/>
      <c r="E61" s="10"/>
      <c r="F61" s="10"/>
      <c r="G61" s="10"/>
      <c r="H61" s="10"/>
      <c r="I61" s="10"/>
      <c r="J61" s="10"/>
      <c r="K61" s="10"/>
      <c r="L61" s="10"/>
      <c r="N61" s="10"/>
      <c r="O61" s="6"/>
      <c r="P61" s="6"/>
      <c r="Q61" s="6"/>
    </row>
    <row r="62" spans="1:27">
      <c r="D62" s="4"/>
      <c r="E62" s="10"/>
      <c r="F62" s="10"/>
      <c r="G62" s="10"/>
      <c r="H62" s="10"/>
      <c r="I62" s="10"/>
      <c r="J62" s="10"/>
      <c r="K62" s="10"/>
      <c r="L62" s="10"/>
      <c r="N62" s="10"/>
      <c r="O62" s="6"/>
      <c r="P62" s="6"/>
      <c r="Q62" s="6"/>
    </row>
  </sheetData>
  <mergeCells count="2">
    <mergeCell ref="E8:N8"/>
    <mergeCell ref="T8:AA8"/>
  </mergeCells>
  <pageMargins left="0.7" right="0.7" top="0.75" bottom="0.75" header="0.3" footer="0.3"/>
  <pageSetup paperSize="9" orientation="portrait" r:id="rId1"/>
  <customProperties>
    <customPr name="_pios_id"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DC13-EA90-4EF0-9D9D-5BE22DBE4B3C}">
  <dimension ref="A1:X47"/>
  <sheetViews>
    <sheetView showGridLines="0" workbookViewId="0">
      <pane xSplit="4" topLeftCell="Q1" activePane="topRight" state="frozen"/>
      <selection pane="topRight" activeCell="D1" sqref="D1"/>
    </sheetView>
  </sheetViews>
  <sheetFormatPr defaultColWidth="9.26953125" defaultRowHeight="14.5"/>
  <cols>
    <col min="4" max="4" width="24.453125" bestFit="1" customWidth="1"/>
    <col min="5" max="6" width="12.26953125" style="14" customWidth="1"/>
    <col min="7" max="7" width="12.26953125" style="15" customWidth="1"/>
    <col min="8" max="10" width="12.26953125" style="14" customWidth="1"/>
    <col min="11" max="11" width="12.26953125" style="15" customWidth="1"/>
    <col min="12" max="12" width="12.26953125" style="14" customWidth="1"/>
    <col min="13" max="14" width="12" style="106" customWidth="1"/>
    <col min="16" max="16" width="9" customWidth="1"/>
    <col min="17" max="17" width="12" style="106" customWidth="1"/>
    <col min="18" max="24" width="12" style="263" customWidth="1"/>
  </cols>
  <sheetData>
    <row r="1" spans="1:24">
      <c r="A1" s="35"/>
      <c r="B1" s="35"/>
      <c r="C1" s="35"/>
      <c r="D1" s="34" t="s">
        <v>9</v>
      </c>
      <c r="E1" s="57"/>
      <c r="F1" s="57"/>
      <c r="G1" s="57"/>
      <c r="H1" s="57"/>
      <c r="I1" s="57"/>
      <c r="J1" s="57"/>
      <c r="K1" s="57"/>
      <c r="L1" s="57"/>
      <c r="O1" s="35"/>
      <c r="P1" s="35"/>
    </row>
    <row r="2" spans="1:24">
      <c r="A2" s="35"/>
      <c r="B2" s="35"/>
      <c r="C2" s="35"/>
      <c r="D2" s="35"/>
      <c r="E2" s="57"/>
      <c r="F2" s="57"/>
      <c r="G2" s="57"/>
      <c r="H2" s="57"/>
      <c r="I2" s="57"/>
      <c r="J2" s="57"/>
      <c r="K2" s="57"/>
      <c r="L2" s="57"/>
      <c r="O2" s="35"/>
      <c r="P2" s="35"/>
    </row>
    <row r="3" spans="1:24">
      <c r="A3" s="35"/>
      <c r="B3" s="35"/>
      <c r="C3" s="35"/>
      <c r="D3" s="35"/>
      <c r="E3" s="57"/>
      <c r="F3" s="57"/>
      <c r="G3" s="57"/>
      <c r="H3" s="57"/>
      <c r="I3" s="57"/>
      <c r="J3" s="57"/>
      <c r="K3" s="57"/>
      <c r="L3" s="57"/>
      <c r="O3" s="35"/>
      <c r="P3" s="35"/>
    </row>
    <row r="4" spans="1:24">
      <c r="A4" s="35"/>
      <c r="B4" s="35"/>
      <c r="C4" s="35"/>
      <c r="D4" s="40"/>
      <c r="E4" s="63"/>
      <c r="F4" s="63"/>
      <c r="G4" s="57"/>
      <c r="H4" s="57"/>
      <c r="I4" s="57"/>
      <c r="J4" s="57"/>
      <c r="K4" s="57"/>
      <c r="L4" s="57"/>
      <c r="O4" s="35"/>
      <c r="P4" s="35"/>
    </row>
    <row r="5" spans="1:24">
      <c r="A5" s="35"/>
      <c r="B5" s="35"/>
      <c r="C5" s="35"/>
      <c r="D5" s="35"/>
      <c r="E5" s="57"/>
      <c r="F5" s="57"/>
      <c r="G5" s="57"/>
      <c r="H5" s="57"/>
      <c r="I5" s="57"/>
      <c r="J5" s="57"/>
      <c r="K5" s="57"/>
      <c r="L5" s="57"/>
      <c r="O5" s="35"/>
      <c r="P5" s="35"/>
    </row>
    <row r="6" spans="1:24">
      <c r="A6" s="35"/>
      <c r="B6" s="35"/>
      <c r="C6" s="35"/>
      <c r="D6" s="35"/>
      <c r="E6" s="57"/>
      <c r="F6" s="57"/>
      <c r="G6" s="57"/>
      <c r="H6" s="57"/>
      <c r="I6" s="57"/>
      <c r="J6" s="57"/>
      <c r="K6" s="57"/>
      <c r="L6" s="57"/>
      <c r="O6" s="35"/>
      <c r="P6" s="35"/>
    </row>
    <row r="7" spans="1:24">
      <c r="A7" s="35"/>
      <c r="B7" s="35"/>
      <c r="C7" s="35"/>
      <c r="D7" s="35"/>
      <c r="E7" s="57"/>
      <c r="F7" s="57"/>
      <c r="G7" s="57"/>
      <c r="H7" s="57"/>
      <c r="I7" s="57"/>
      <c r="J7" s="57"/>
      <c r="K7" s="57"/>
      <c r="L7" s="57"/>
      <c r="O7" s="35"/>
      <c r="P7" s="35"/>
    </row>
    <row r="8" spans="1:24">
      <c r="A8" s="35"/>
      <c r="B8" s="35"/>
      <c r="C8" s="35"/>
      <c r="D8" s="35"/>
      <c r="E8" s="57"/>
      <c r="F8" s="57"/>
      <c r="G8" s="57"/>
      <c r="H8" s="57"/>
      <c r="I8" s="57"/>
      <c r="J8" s="57"/>
      <c r="K8" s="57"/>
      <c r="L8" s="57"/>
      <c r="O8" s="35"/>
      <c r="P8" s="35"/>
    </row>
    <row r="9" spans="1:24" ht="29.5" thickBot="1">
      <c r="A9" s="35"/>
      <c r="B9" s="35"/>
      <c r="C9" s="35"/>
      <c r="D9" s="51" t="s">
        <v>297</v>
      </c>
      <c r="E9" s="61" t="s">
        <v>142</v>
      </c>
      <c r="F9" s="61" t="s">
        <v>143</v>
      </c>
      <c r="G9" s="60" t="s">
        <v>144</v>
      </c>
      <c r="H9" s="61" t="s">
        <v>145</v>
      </c>
      <c r="I9" s="61" t="s">
        <v>171</v>
      </c>
      <c r="J9" s="61" t="s">
        <v>172</v>
      </c>
      <c r="K9" s="60" t="s">
        <v>173</v>
      </c>
      <c r="L9" s="60" t="s">
        <v>174</v>
      </c>
      <c r="M9" s="24" t="s">
        <v>150</v>
      </c>
      <c r="N9" s="24" t="s">
        <v>151</v>
      </c>
      <c r="O9" s="24" t="s">
        <v>152</v>
      </c>
      <c r="P9" s="24" t="s">
        <v>328</v>
      </c>
      <c r="Q9" s="24" t="s">
        <v>154</v>
      </c>
      <c r="R9" s="24" t="s">
        <v>155</v>
      </c>
      <c r="S9" s="24" t="s">
        <v>156</v>
      </c>
      <c r="T9" s="24" t="s">
        <v>157</v>
      </c>
      <c r="U9" s="24" t="s">
        <v>158</v>
      </c>
      <c r="V9" s="24" t="s">
        <v>159</v>
      </c>
      <c r="W9" s="24" t="s">
        <v>160</v>
      </c>
      <c r="X9" s="24" t="s">
        <v>449</v>
      </c>
    </row>
    <row r="10" spans="1:24" s="2" customFormat="1">
      <c r="A10" s="34"/>
      <c r="B10" s="34"/>
      <c r="C10" s="34"/>
      <c r="D10" s="54" t="s">
        <v>220</v>
      </c>
      <c r="E10" s="71">
        <v>7372</v>
      </c>
      <c r="F10" s="71">
        <v>16910</v>
      </c>
      <c r="G10" s="71">
        <v>17294</v>
      </c>
      <c r="H10" s="71">
        <v>19660</v>
      </c>
      <c r="I10" s="71">
        <v>16628</v>
      </c>
      <c r="J10" s="71">
        <v>17707</v>
      </c>
      <c r="K10" s="71">
        <v>12638</v>
      </c>
      <c r="L10" s="71">
        <v>16553</v>
      </c>
      <c r="M10" s="107">
        <v>17409</v>
      </c>
      <c r="N10" s="107">
        <v>14012</v>
      </c>
      <c r="O10" s="107">
        <v>21113</v>
      </c>
      <c r="P10" s="107">
        <v>18390</v>
      </c>
      <c r="Q10" s="107">
        <v>16585</v>
      </c>
      <c r="R10" s="107">
        <v>19640</v>
      </c>
      <c r="S10" s="107">
        <v>18811</v>
      </c>
      <c r="T10" s="107">
        <v>18509</v>
      </c>
      <c r="U10" s="107">
        <v>14901</v>
      </c>
      <c r="V10" s="107">
        <v>17310</v>
      </c>
      <c r="W10" s="107">
        <v>13033</v>
      </c>
      <c r="X10" s="107">
        <v>18438</v>
      </c>
    </row>
    <row r="11" spans="1:24" s="2" customFormat="1">
      <c r="A11" s="34"/>
      <c r="B11" s="34"/>
      <c r="C11" s="34"/>
      <c r="D11" s="54" t="s">
        <v>221</v>
      </c>
      <c r="E11" s="71">
        <v>8680</v>
      </c>
      <c r="F11" s="71">
        <v>7813</v>
      </c>
      <c r="G11" s="71">
        <v>9909</v>
      </c>
      <c r="H11" s="71">
        <v>14179</v>
      </c>
      <c r="I11" s="71">
        <v>11006</v>
      </c>
      <c r="J11" s="71">
        <v>12765</v>
      </c>
      <c r="K11" s="71">
        <v>13404</v>
      </c>
      <c r="L11" s="71">
        <v>14840</v>
      </c>
      <c r="M11" s="108">
        <v>11321</v>
      </c>
      <c r="N11" s="108">
        <v>16247</v>
      </c>
      <c r="O11" s="108">
        <v>12900</v>
      </c>
      <c r="P11" s="108">
        <v>19602</v>
      </c>
      <c r="Q11" s="108">
        <v>19490</v>
      </c>
      <c r="R11" s="108">
        <v>19672</v>
      </c>
      <c r="S11" s="108">
        <v>16952</v>
      </c>
      <c r="T11" s="108">
        <v>19058</v>
      </c>
      <c r="U11" s="108">
        <v>15182</v>
      </c>
      <c r="V11" s="108">
        <v>17330</v>
      </c>
      <c r="W11" s="108">
        <v>17700</v>
      </c>
      <c r="X11" s="108">
        <v>19284</v>
      </c>
    </row>
    <row r="12" spans="1:24" s="2" customFormat="1">
      <c r="A12" s="34"/>
      <c r="B12" s="34"/>
      <c r="C12" s="34"/>
      <c r="D12" s="34" t="s">
        <v>329</v>
      </c>
      <c r="E12" s="68">
        <v>31559</v>
      </c>
      <c r="F12" s="68">
        <v>23227</v>
      </c>
      <c r="G12" s="68">
        <v>28454</v>
      </c>
      <c r="H12" s="68">
        <v>38664</v>
      </c>
      <c r="I12" s="68">
        <v>30738</v>
      </c>
      <c r="J12" s="68">
        <v>30062</v>
      </c>
      <c r="K12" s="68">
        <v>24086</v>
      </c>
      <c r="L12" s="68">
        <v>36141</v>
      </c>
      <c r="M12" s="109">
        <v>34139</v>
      </c>
      <c r="N12" s="109">
        <v>28429</v>
      </c>
      <c r="O12" s="109">
        <v>33596</v>
      </c>
      <c r="P12" s="109">
        <v>47986</v>
      </c>
      <c r="Q12" s="109">
        <v>44102</v>
      </c>
      <c r="R12" s="109">
        <v>46489</v>
      </c>
      <c r="S12" s="109">
        <v>39960</v>
      </c>
      <c r="T12" s="109">
        <v>54343</v>
      </c>
      <c r="U12" s="109">
        <v>51555</v>
      </c>
      <c r="V12" s="109">
        <v>50675</v>
      </c>
      <c r="W12" s="109">
        <v>47400</v>
      </c>
      <c r="X12" s="109">
        <v>59284</v>
      </c>
    </row>
    <row r="13" spans="1:24" ht="16.5">
      <c r="A13" s="35"/>
      <c r="B13" s="35"/>
      <c r="C13" s="35"/>
      <c r="D13" s="35" t="s">
        <v>330</v>
      </c>
      <c r="E13" s="64">
        <v>6840</v>
      </c>
      <c r="F13" s="64">
        <v>5426</v>
      </c>
      <c r="G13" s="64">
        <v>5905</v>
      </c>
      <c r="H13" s="64">
        <v>7375</v>
      </c>
      <c r="I13" s="64">
        <v>7529</v>
      </c>
      <c r="J13" s="64">
        <v>6361</v>
      </c>
      <c r="K13" s="64">
        <v>5185</v>
      </c>
      <c r="L13" s="64">
        <v>9170</v>
      </c>
      <c r="M13" s="6">
        <v>10401</v>
      </c>
      <c r="N13" s="6">
        <v>7838</v>
      </c>
      <c r="O13" s="6">
        <v>11299</v>
      </c>
      <c r="P13" s="6">
        <v>15385</v>
      </c>
      <c r="Q13" s="6">
        <v>11575</v>
      </c>
      <c r="R13" s="6">
        <v>13169</v>
      </c>
      <c r="S13" s="6">
        <v>10382</v>
      </c>
      <c r="T13" s="6">
        <v>11904</v>
      </c>
      <c r="U13" s="6">
        <v>9484</v>
      </c>
      <c r="V13" s="6">
        <v>11438</v>
      </c>
      <c r="W13" s="6">
        <v>12887</v>
      </c>
      <c r="X13" s="6">
        <v>14287</v>
      </c>
    </row>
    <row r="14" spans="1:24">
      <c r="A14" s="35"/>
      <c r="B14" s="35"/>
      <c r="C14" s="35"/>
      <c r="D14" s="35" t="s">
        <v>331</v>
      </c>
      <c r="E14" s="64">
        <v>4874</v>
      </c>
      <c r="F14" s="64">
        <v>2073</v>
      </c>
      <c r="G14" s="64">
        <v>4145</v>
      </c>
      <c r="H14" s="64">
        <v>4774</v>
      </c>
      <c r="I14" s="64">
        <v>3501</v>
      </c>
      <c r="J14" s="64">
        <v>3733</v>
      </c>
      <c r="K14" s="64">
        <v>3772</v>
      </c>
      <c r="L14" s="64">
        <v>4604</v>
      </c>
      <c r="M14" s="6">
        <v>3494</v>
      </c>
      <c r="N14" s="6">
        <v>3623</v>
      </c>
      <c r="O14" s="6">
        <v>3419</v>
      </c>
      <c r="P14" s="6">
        <v>5623</v>
      </c>
      <c r="Q14" s="6">
        <v>4575</v>
      </c>
      <c r="R14" s="6">
        <v>5504</v>
      </c>
      <c r="S14" s="6">
        <v>4663</v>
      </c>
      <c r="T14" s="6">
        <v>6919</v>
      </c>
      <c r="U14" s="6">
        <v>5935</v>
      </c>
      <c r="V14" s="6">
        <v>7550</v>
      </c>
      <c r="W14" s="6">
        <v>8477</v>
      </c>
      <c r="X14" s="6">
        <v>9971</v>
      </c>
    </row>
    <row r="15" spans="1:24">
      <c r="A15" s="35"/>
      <c r="B15" s="35"/>
      <c r="C15" s="35"/>
      <c r="D15" s="282" t="s">
        <v>332</v>
      </c>
      <c r="E15" s="200">
        <v>5084</v>
      </c>
      <c r="F15" s="200">
        <v>3867</v>
      </c>
      <c r="G15" s="200">
        <v>3822</v>
      </c>
      <c r="H15" s="200">
        <v>5546</v>
      </c>
      <c r="I15" s="200">
        <v>3724</v>
      </c>
      <c r="J15" s="200">
        <v>3748</v>
      </c>
      <c r="K15" s="200">
        <v>4019</v>
      </c>
      <c r="L15" s="200">
        <v>5332</v>
      </c>
      <c r="M15" s="283">
        <v>4127</v>
      </c>
      <c r="N15" s="283">
        <v>4354</v>
      </c>
      <c r="O15" s="283">
        <v>4205</v>
      </c>
      <c r="P15" s="283">
        <v>6329</v>
      </c>
      <c r="Q15" s="283">
        <v>5434</v>
      </c>
      <c r="R15" s="283">
        <v>5360</v>
      </c>
      <c r="S15" s="283">
        <v>5681</v>
      </c>
      <c r="T15" s="283">
        <v>8467</v>
      </c>
      <c r="U15" s="283">
        <v>7401</v>
      </c>
      <c r="V15" s="283">
        <v>6450</v>
      </c>
      <c r="W15" s="283">
        <v>6973</v>
      </c>
      <c r="X15" s="283">
        <v>8476</v>
      </c>
    </row>
    <row r="16" spans="1:24" s="2" customFormat="1">
      <c r="A16" s="34"/>
      <c r="B16" s="34"/>
      <c r="C16" s="34"/>
      <c r="D16" s="34" t="s">
        <v>333</v>
      </c>
      <c r="E16" s="68">
        <v>8906</v>
      </c>
      <c r="F16" s="68">
        <v>7292</v>
      </c>
      <c r="G16" s="68">
        <v>10106</v>
      </c>
      <c r="H16" s="68">
        <v>12808</v>
      </c>
      <c r="I16" s="68">
        <v>10221</v>
      </c>
      <c r="J16" s="68">
        <v>12004</v>
      </c>
      <c r="K16" s="68">
        <v>10710</v>
      </c>
      <c r="L16" s="68">
        <v>12542</v>
      </c>
      <c r="M16" s="109">
        <v>11400</v>
      </c>
      <c r="N16" s="109">
        <v>12612</v>
      </c>
      <c r="O16" s="109">
        <v>11720</v>
      </c>
      <c r="P16" s="109">
        <v>17269</v>
      </c>
      <c r="Q16" s="109">
        <v>15528</v>
      </c>
      <c r="R16" s="109">
        <v>16351</v>
      </c>
      <c r="S16" s="109">
        <v>16322</v>
      </c>
      <c r="T16" s="109">
        <v>17531</v>
      </c>
      <c r="U16" s="109">
        <v>12240</v>
      </c>
      <c r="V16" s="109">
        <v>16139</v>
      </c>
      <c r="W16" s="109">
        <v>14650</v>
      </c>
      <c r="X16" s="109">
        <v>15113</v>
      </c>
    </row>
    <row r="17" spans="1:24" s="2" customFormat="1">
      <c r="A17" s="34"/>
      <c r="B17" s="34"/>
      <c r="C17" s="34"/>
      <c r="D17" s="35" t="s">
        <v>450</v>
      </c>
      <c r="E17" s="68"/>
      <c r="F17" s="68"/>
      <c r="G17" s="68"/>
      <c r="H17" s="68"/>
      <c r="I17" s="68"/>
      <c r="J17" s="68"/>
      <c r="K17" s="68"/>
      <c r="L17" s="68"/>
      <c r="M17" s="109"/>
      <c r="N17" s="109"/>
      <c r="O17" s="109"/>
      <c r="P17" s="109"/>
      <c r="Q17" s="109"/>
      <c r="R17" s="109"/>
      <c r="S17" s="109" t="s">
        <v>124</v>
      </c>
      <c r="T17" s="109" t="s">
        <v>124</v>
      </c>
      <c r="U17" s="109" t="s">
        <v>124</v>
      </c>
      <c r="V17" s="109" t="s">
        <v>124</v>
      </c>
      <c r="W17" s="109" t="s">
        <v>124</v>
      </c>
      <c r="X17" s="6">
        <v>2440</v>
      </c>
    </row>
    <row r="18" spans="1:24">
      <c r="A18" s="35"/>
      <c r="B18" s="35"/>
      <c r="C18" s="35"/>
      <c r="D18" s="35" t="s">
        <v>334</v>
      </c>
      <c r="E18" s="64">
        <v>1346</v>
      </c>
      <c r="F18" s="64">
        <v>1250</v>
      </c>
      <c r="G18" s="64">
        <v>683</v>
      </c>
      <c r="H18" s="64">
        <v>1780</v>
      </c>
      <c r="I18" s="64">
        <v>1507</v>
      </c>
      <c r="J18" s="64">
        <v>1580</v>
      </c>
      <c r="K18" s="64">
        <v>1264</v>
      </c>
      <c r="L18" s="64">
        <v>1542</v>
      </c>
      <c r="M18" s="6">
        <v>1463</v>
      </c>
      <c r="N18" s="6">
        <v>1424</v>
      </c>
      <c r="O18" s="6">
        <v>920</v>
      </c>
      <c r="P18" s="6">
        <v>2217</v>
      </c>
      <c r="Q18" s="6">
        <v>2176</v>
      </c>
      <c r="R18" s="6">
        <v>1994</v>
      </c>
      <c r="S18" s="6">
        <v>1941</v>
      </c>
      <c r="T18" s="6">
        <v>2225</v>
      </c>
      <c r="U18" s="6">
        <v>1521</v>
      </c>
      <c r="V18" s="6">
        <v>1987</v>
      </c>
      <c r="W18" s="6">
        <v>1690</v>
      </c>
      <c r="X18" s="6">
        <v>1912</v>
      </c>
    </row>
    <row r="19" spans="1:24" ht="15" thickBot="1">
      <c r="A19" s="35"/>
      <c r="B19" s="35"/>
      <c r="C19" s="35"/>
      <c r="D19" s="55" t="s">
        <v>335</v>
      </c>
      <c r="E19" s="72">
        <v>2143</v>
      </c>
      <c r="F19" s="72">
        <v>1612</v>
      </c>
      <c r="G19" s="73">
        <v>1801</v>
      </c>
      <c r="H19" s="72">
        <v>1789</v>
      </c>
      <c r="I19" s="72">
        <v>1775</v>
      </c>
      <c r="J19" s="72">
        <v>1958</v>
      </c>
      <c r="K19" s="72">
        <v>1630</v>
      </c>
      <c r="L19" s="72">
        <v>2114</v>
      </c>
      <c r="M19" s="110">
        <v>1860</v>
      </c>
      <c r="N19" s="110">
        <v>2263</v>
      </c>
      <c r="O19" s="110">
        <v>1774</v>
      </c>
      <c r="P19" s="110">
        <v>2442</v>
      </c>
      <c r="Q19" s="110">
        <v>2286</v>
      </c>
      <c r="R19" s="110">
        <v>2216</v>
      </c>
      <c r="S19" s="110">
        <v>1798</v>
      </c>
      <c r="T19" s="110">
        <v>1373</v>
      </c>
      <c r="U19" s="110">
        <v>1359</v>
      </c>
      <c r="V19" s="110">
        <v>1466</v>
      </c>
      <c r="W19" s="110">
        <v>1576</v>
      </c>
      <c r="X19" s="110" t="s">
        <v>124</v>
      </c>
    </row>
    <row r="20" spans="1:24" s="2" customFormat="1" ht="15" thickTop="1">
      <c r="A20" s="34"/>
      <c r="B20" s="34"/>
      <c r="C20" s="34"/>
      <c r="D20" s="34" t="s">
        <v>131</v>
      </c>
      <c r="E20" s="68">
        <v>56517</v>
      </c>
      <c r="F20" s="68">
        <v>55242</v>
      </c>
      <c r="G20" s="68">
        <v>65763</v>
      </c>
      <c r="H20" s="68">
        <v>85311</v>
      </c>
      <c r="I20" s="68">
        <v>68593</v>
      </c>
      <c r="J20" s="68">
        <v>72538</v>
      </c>
      <c r="K20" s="68">
        <v>60838</v>
      </c>
      <c r="L20" s="68">
        <v>80076</v>
      </c>
      <c r="M20" s="109">
        <v>74269</v>
      </c>
      <c r="N20" s="109">
        <v>71300</v>
      </c>
      <c r="O20" s="109">
        <v>79329</v>
      </c>
      <c r="P20" s="109">
        <v>105247</v>
      </c>
      <c r="Q20" s="109">
        <v>95705</v>
      </c>
      <c r="R20" s="109">
        <v>102152</v>
      </c>
      <c r="S20" s="109">
        <v>92045</v>
      </c>
      <c r="T20" s="109">
        <v>109441</v>
      </c>
      <c r="U20" s="109">
        <v>93878</v>
      </c>
      <c r="V20" s="109">
        <v>101454</v>
      </c>
      <c r="W20" s="109">
        <v>92783</v>
      </c>
      <c r="X20" s="109">
        <v>112119</v>
      </c>
    </row>
    <row r="21" spans="1:24">
      <c r="A21" s="35"/>
      <c r="B21" s="35"/>
      <c r="C21" s="35"/>
      <c r="D21" s="40"/>
      <c r="E21" s="63"/>
      <c r="F21" s="63"/>
      <c r="G21" s="62"/>
      <c r="H21" s="62"/>
      <c r="I21" s="62"/>
      <c r="J21" s="62"/>
      <c r="K21" s="62"/>
      <c r="L21" s="62"/>
      <c r="M21" s="111"/>
      <c r="N21" s="111"/>
      <c r="O21" s="35"/>
      <c r="P21" s="35"/>
      <c r="Q21" s="111"/>
      <c r="R21" s="264"/>
      <c r="S21" s="264"/>
      <c r="T21" s="264"/>
      <c r="U21" s="264"/>
      <c r="V21" s="264"/>
      <c r="W21" s="264"/>
      <c r="X21" s="264"/>
    </row>
    <row r="22" spans="1:24">
      <c r="A22" s="35"/>
      <c r="B22" s="35"/>
      <c r="C22" s="35"/>
      <c r="D22" s="40"/>
      <c r="E22" s="63"/>
      <c r="F22" s="63"/>
      <c r="G22" s="63"/>
      <c r="H22" s="63"/>
      <c r="I22" s="63"/>
      <c r="J22" s="63"/>
      <c r="K22" s="63"/>
      <c r="L22" s="63"/>
      <c r="M22" s="112"/>
      <c r="N22" s="112"/>
      <c r="O22" s="35"/>
      <c r="P22" s="35"/>
      <c r="Q22" s="112"/>
    </row>
    <row r="23" spans="1:24" ht="43.5">
      <c r="A23" s="35"/>
      <c r="B23" s="35"/>
      <c r="C23" s="35"/>
      <c r="D23" s="43" t="s">
        <v>336</v>
      </c>
      <c r="E23" s="63"/>
      <c r="F23" s="63"/>
      <c r="G23" s="63"/>
      <c r="H23" s="63"/>
      <c r="I23" s="63"/>
      <c r="J23" s="63"/>
      <c r="K23" s="63"/>
      <c r="L23" s="63"/>
      <c r="M23" s="112"/>
      <c r="N23" s="112"/>
      <c r="O23" s="35"/>
      <c r="P23" s="35"/>
      <c r="Q23" s="112"/>
    </row>
    <row r="24" spans="1:24">
      <c r="A24" s="35"/>
      <c r="B24" s="35"/>
      <c r="C24" s="35"/>
      <c r="D24" s="43"/>
      <c r="E24" s="70"/>
      <c r="F24" s="70"/>
      <c r="G24" s="70"/>
      <c r="H24" s="70"/>
      <c r="I24" s="70"/>
      <c r="J24" s="70"/>
      <c r="K24" s="70"/>
      <c r="L24" s="70"/>
      <c r="M24" s="113"/>
      <c r="N24" s="113"/>
      <c r="O24" s="35"/>
      <c r="P24" s="35"/>
      <c r="Q24" s="113"/>
      <c r="R24" s="265"/>
      <c r="S24" s="265"/>
      <c r="T24" s="265"/>
      <c r="U24" s="265"/>
      <c r="V24" s="265"/>
      <c r="W24" s="265"/>
      <c r="X24" s="265"/>
    </row>
    <row r="25" spans="1:24">
      <c r="A25" s="35"/>
      <c r="B25" s="35"/>
      <c r="C25" s="35"/>
      <c r="D25" s="43"/>
      <c r="E25" s="70"/>
      <c r="F25" s="70"/>
      <c r="G25" s="70"/>
      <c r="H25" s="70"/>
      <c r="I25" s="70"/>
      <c r="J25" s="70"/>
      <c r="K25" s="70"/>
      <c r="L25" s="70"/>
      <c r="M25" s="113"/>
      <c r="N25" s="113"/>
      <c r="O25" s="35"/>
      <c r="P25" s="35"/>
      <c r="Q25" s="113"/>
      <c r="R25" s="265"/>
      <c r="S25" s="265"/>
      <c r="T25" s="265"/>
      <c r="U25" s="265"/>
      <c r="V25" s="265"/>
      <c r="W25" s="265"/>
      <c r="X25" s="265"/>
    </row>
    <row r="26" spans="1:24">
      <c r="A26" s="35"/>
      <c r="B26" s="35"/>
      <c r="C26" s="35"/>
      <c r="D26" s="43"/>
      <c r="E26" s="70"/>
      <c r="F26" s="70"/>
      <c r="G26" s="70"/>
      <c r="H26" s="70"/>
      <c r="I26" s="70"/>
      <c r="J26" s="70"/>
      <c r="K26" s="70"/>
      <c r="L26" s="70"/>
      <c r="M26" s="113"/>
      <c r="N26" s="113"/>
      <c r="O26" s="35"/>
      <c r="P26" s="35"/>
      <c r="Q26" s="113"/>
      <c r="R26" s="265"/>
      <c r="S26" s="265"/>
      <c r="T26" s="265"/>
      <c r="U26" s="265"/>
      <c r="V26" s="265"/>
      <c r="W26" s="265"/>
      <c r="X26" s="265"/>
    </row>
    <row r="27" spans="1:24">
      <c r="A27" s="35"/>
      <c r="B27" s="35"/>
      <c r="C27" s="35"/>
      <c r="D27" s="43"/>
      <c r="E27" s="70"/>
      <c r="F27" s="70"/>
      <c r="G27" s="70"/>
      <c r="H27" s="70"/>
      <c r="I27" s="70"/>
      <c r="J27" s="70"/>
      <c r="K27" s="70"/>
      <c r="L27" s="70"/>
      <c r="M27" s="113"/>
      <c r="N27" s="113"/>
      <c r="O27" s="35"/>
      <c r="P27" s="35"/>
      <c r="Q27" s="113"/>
      <c r="R27" s="265"/>
      <c r="S27" s="265"/>
      <c r="T27" s="265"/>
      <c r="U27" s="265"/>
      <c r="V27" s="265"/>
      <c r="W27" s="265"/>
      <c r="X27" s="265"/>
    </row>
    <row r="28" spans="1:24">
      <c r="A28" s="35"/>
      <c r="B28" s="35"/>
      <c r="C28" s="35"/>
      <c r="D28" s="43"/>
      <c r="E28" s="70"/>
      <c r="F28" s="70"/>
      <c r="G28" s="70"/>
      <c r="H28" s="70"/>
      <c r="I28" s="70"/>
      <c r="J28" s="70"/>
      <c r="K28" s="70"/>
      <c r="L28" s="70"/>
      <c r="M28" s="113"/>
      <c r="N28" s="113"/>
      <c r="O28" s="35"/>
      <c r="P28" s="35"/>
      <c r="Q28" s="113"/>
      <c r="R28" s="265"/>
      <c r="S28" s="265"/>
      <c r="T28" s="265"/>
      <c r="U28" s="265"/>
      <c r="V28" s="265"/>
      <c r="W28" s="265"/>
      <c r="X28" s="265"/>
    </row>
    <row r="29" spans="1:24">
      <c r="A29" s="35"/>
      <c r="B29" s="35"/>
      <c r="C29" s="35"/>
      <c r="D29" s="43"/>
      <c r="E29" s="70"/>
      <c r="F29" s="70"/>
      <c r="G29" s="70"/>
      <c r="H29" s="70"/>
      <c r="I29" s="70"/>
      <c r="J29" s="70"/>
      <c r="K29" s="70"/>
      <c r="L29" s="70"/>
      <c r="M29" s="113"/>
      <c r="N29" s="113"/>
      <c r="O29" s="35"/>
      <c r="P29" s="35"/>
      <c r="Q29" s="113"/>
      <c r="R29" s="265"/>
      <c r="S29" s="265"/>
      <c r="T29" s="265"/>
      <c r="U29" s="265"/>
      <c r="V29" s="265"/>
      <c r="W29" s="265"/>
      <c r="X29" s="265"/>
    </row>
    <row r="30" spans="1:24">
      <c r="A30" s="35"/>
      <c r="B30" s="35"/>
      <c r="C30" s="35"/>
      <c r="D30" s="43"/>
      <c r="E30" s="70"/>
      <c r="F30" s="70"/>
      <c r="G30" s="70"/>
      <c r="H30" s="70"/>
      <c r="I30" s="70"/>
      <c r="J30" s="70"/>
      <c r="K30" s="70"/>
      <c r="L30" s="70"/>
      <c r="M30" s="113"/>
      <c r="N30" s="113"/>
      <c r="O30" s="35"/>
      <c r="P30" s="35"/>
      <c r="Q30" s="113"/>
      <c r="R30" s="265"/>
      <c r="S30" s="265"/>
      <c r="T30" s="265"/>
      <c r="U30" s="265"/>
      <c r="V30" s="265"/>
      <c r="W30" s="265"/>
      <c r="X30" s="265"/>
    </row>
    <row r="31" spans="1:24">
      <c r="A31" s="35"/>
      <c r="B31" s="35"/>
      <c r="C31" s="35"/>
      <c r="D31" s="40"/>
      <c r="E31" s="63"/>
      <c r="F31" s="63"/>
      <c r="G31" s="63"/>
      <c r="H31" s="63"/>
      <c r="I31" s="63"/>
      <c r="J31" s="63"/>
      <c r="K31" s="63"/>
      <c r="L31" s="63"/>
      <c r="M31" s="112"/>
      <c r="N31" s="112"/>
      <c r="O31" s="35"/>
      <c r="P31" s="35"/>
      <c r="Q31" s="112"/>
    </row>
    <row r="32" spans="1:24">
      <c r="A32" s="35"/>
      <c r="B32" s="35"/>
      <c r="C32" s="35"/>
      <c r="D32" s="40"/>
      <c r="E32" s="63"/>
      <c r="F32" s="63"/>
      <c r="G32" s="63"/>
      <c r="H32" s="63"/>
      <c r="I32" s="63"/>
      <c r="J32" s="63"/>
      <c r="K32" s="63"/>
      <c r="L32" s="63"/>
      <c r="M32" s="112"/>
      <c r="N32" s="112"/>
      <c r="O32" s="35"/>
      <c r="P32" s="35"/>
      <c r="Q32" s="112"/>
    </row>
    <row r="33" spans="1:17">
      <c r="A33" s="35"/>
      <c r="B33" s="35"/>
      <c r="C33" s="35"/>
      <c r="D33" s="40"/>
      <c r="E33" s="63"/>
      <c r="F33" s="63"/>
      <c r="G33" s="63"/>
      <c r="H33" s="63"/>
      <c r="I33" s="63"/>
      <c r="J33" s="63"/>
      <c r="K33" s="63"/>
      <c r="L33" s="63"/>
      <c r="M33" s="112"/>
      <c r="N33" s="112"/>
      <c r="O33" s="35"/>
      <c r="P33" s="35"/>
      <c r="Q33" s="112"/>
    </row>
    <row r="34" spans="1:17">
      <c r="A34" s="35"/>
      <c r="B34" s="35"/>
      <c r="C34" s="35"/>
      <c r="D34" s="40"/>
      <c r="E34" s="63"/>
      <c r="F34" s="63"/>
      <c r="G34" s="63"/>
      <c r="H34" s="63"/>
      <c r="I34" s="63"/>
      <c r="J34" s="63"/>
      <c r="K34" s="63"/>
      <c r="L34" s="63"/>
      <c r="M34" s="112"/>
      <c r="N34" s="112"/>
      <c r="O34" s="35"/>
      <c r="P34" s="35"/>
      <c r="Q34" s="112"/>
    </row>
    <row r="35" spans="1:17">
      <c r="A35" s="35"/>
      <c r="B35" s="35"/>
      <c r="C35" s="35"/>
      <c r="D35" s="40"/>
      <c r="E35" s="63"/>
      <c r="F35" s="63"/>
      <c r="G35" s="63"/>
      <c r="H35" s="63"/>
      <c r="I35" s="63"/>
      <c r="J35" s="63"/>
      <c r="K35" s="63"/>
      <c r="L35" s="63"/>
      <c r="M35" s="112"/>
      <c r="N35" s="112"/>
      <c r="O35" s="35"/>
      <c r="P35" s="35"/>
      <c r="Q35" s="112"/>
    </row>
    <row r="36" spans="1:17">
      <c r="A36" s="35"/>
      <c r="B36" s="35"/>
      <c r="C36" s="35"/>
      <c r="D36" s="40"/>
      <c r="E36" s="63"/>
      <c r="F36" s="63"/>
      <c r="G36" s="63"/>
      <c r="H36" s="63"/>
      <c r="I36" s="63"/>
      <c r="J36" s="63"/>
      <c r="K36" s="63"/>
      <c r="L36" s="63"/>
      <c r="M36" s="112"/>
      <c r="N36" s="112"/>
      <c r="O36" s="35"/>
      <c r="P36" s="35"/>
      <c r="Q36" s="112"/>
    </row>
    <row r="37" spans="1:17">
      <c r="A37" s="35"/>
      <c r="B37" s="35"/>
      <c r="C37" s="35"/>
      <c r="D37" s="40"/>
      <c r="E37" s="63"/>
      <c r="F37" s="63"/>
      <c r="G37" s="63"/>
      <c r="H37" s="63"/>
      <c r="I37" s="63"/>
      <c r="J37" s="63"/>
      <c r="K37" s="63"/>
      <c r="L37" s="63"/>
      <c r="M37" s="112"/>
      <c r="N37" s="112"/>
      <c r="O37" s="35"/>
      <c r="P37" s="35"/>
      <c r="Q37" s="112"/>
    </row>
    <row r="38" spans="1:17">
      <c r="A38" s="35"/>
      <c r="B38" s="35"/>
      <c r="C38" s="35"/>
      <c r="D38" s="40"/>
      <c r="E38" s="63"/>
      <c r="F38" s="63"/>
      <c r="G38" s="63"/>
      <c r="H38" s="63"/>
      <c r="I38" s="63"/>
      <c r="J38" s="63"/>
      <c r="K38" s="63"/>
      <c r="L38" s="63"/>
      <c r="M38" s="112"/>
      <c r="N38" s="112"/>
      <c r="O38" s="35"/>
      <c r="P38" s="35"/>
      <c r="Q38" s="112"/>
    </row>
    <row r="39" spans="1:17">
      <c r="A39" s="35"/>
      <c r="B39" s="35"/>
      <c r="C39" s="35"/>
      <c r="D39" s="40"/>
      <c r="E39" s="63"/>
      <c r="F39" s="63"/>
      <c r="G39" s="63"/>
      <c r="H39" s="63"/>
      <c r="I39" s="63"/>
      <c r="J39" s="63"/>
      <c r="K39" s="63"/>
      <c r="L39" s="63"/>
      <c r="M39" s="112"/>
      <c r="N39" s="112"/>
      <c r="O39" s="35"/>
      <c r="P39" s="35"/>
      <c r="Q39" s="112"/>
    </row>
    <row r="40" spans="1:17">
      <c r="A40" s="35"/>
      <c r="B40" s="35"/>
      <c r="C40" s="35"/>
      <c r="D40" s="40"/>
      <c r="E40" s="63"/>
      <c r="F40" s="63"/>
      <c r="G40" s="63"/>
      <c r="H40" s="63"/>
      <c r="I40" s="63"/>
      <c r="J40" s="63"/>
      <c r="K40" s="63"/>
      <c r="L40" s="63"/>
      <c r="M40" s="112"/>
      <c r="N40" s="112"/>
      <c r="O40" s="35"/>
      <c r="P40" s="35"/>
      <c r="Q40" s="112"/>
    </row>
    <row r="41" spans="1:17">
      <c r="A41" s="35"/>
      <c r="B41" s="35"/>
      <c r="C41" s="35"/>
      <c r="D41" s="40"/>
      <c r="E41" s="63"/>
      <c r="F41" s="63"/>
      <c r="G41" s="63"/>
      <c r="H41" s="63"/>
      <c r="I41" s="63"/>
      <c r="J41" s="63"/>
      <c r="K41" s="63"/>
      <c r="L41" s="63"/>
      <c r="M41" s="112"/>
      <c r="N41" s="112"/>
      <c r="O41" s="35"/>
      <c r="P41" s="35"/>
      <c r="Q41" s="112"/>
    </row>
    <row r="42" spans="1:17">
      <c r="A42" s="35"/>
      <c r="B42" s="35"/>
      <c r="C42" s="35"/>
      <c r="D42" s="40"/>
      <c r="E42" s="63"/>
      <c r="F42" s="63"/>
      <c r="G42" s="63"/>
      <c r="H42" s="63"/>
      <c r="I42" s="63"/>
      <c r="J42" s="63"/>
      <c r="K42" s="63"/>
      <c r="L42" s="63"/>
      <c r="M42" s="112"/>
      <c r="N42" s="112"/>
      <c r="O42" s="35"/>
      <c r="P42" s="35"/>
      <c r="Q42" s="112"/>
    </row>
    <row r="43" spans="1:17">
      <c r="A43" s="35"/>
      <c r="B43" s="35"/>
      <c r="C43" s="35"/>
      <c r="D43" s="40"/>
      <c r="E43" s="63"/>
      <c r="F43" s="63"/>
      <c r="G43" s="63"/>
      <c r="H43" s="63"/>
      <c r="I43" s="63"/>
      <c r="J43" s="63"/>
      <c r="K43" s="63"/>
      <c r="L43" s="63"/>
      <c r="M43" s="112"/>
      <c r="N43" s="112"/>
      <c r="O43" s="35"/>
      <c r="P43" s="35"/>
      <c r="Q43" s="112"/>
    </row>
    <row r="44" spans="1:17">
      <c r="A44" s="35"/>
      <c r="B44" s="35"/>
      <c r="C44" s="35"/>
      <c r="D44" s="40"/>
      <c r="E44" s="63"/>
      <c r="F44" s="63"/>
      <c r="G44" s="63"/>
      <c r="H44" s="63"/>
      <c r="I44" s="63"/>
      <c r="J44" s="63"/>
      <c r="K44" s="63"/>
      <c r="L44" s="63"/>
      <c r="M44" s="112"/>
      <c r="N44" s="112"/>
      <c r="O44" s="35"/>
      <c r="P44" s="35"/>
      <c r="Q44" s="112"/>
    </row>
    <row r="45" spans="1:17">
      <c r="A45" s="35"/>
      <c r="B45" s="35"/>
      <c r="C45" s="35"/>
      <c r="D45" s="40"/>
      <c r="E45" s="63"/>
      <c r="F45" s="63"/>
      <c r="G45" s="63"/>
      <c r="H45" s="63"/>
      <c r="I45" s="63"/>
      <c r="J45" s="63"/>
      <c r="K45" s="63"/>
      <c r="L45" s="63"/>
      <c r="M45" s="112"/>
      <c r="N45" s="112"/>
      <c r="O45" s="35"/>
      <c r="P45" s="35"/>
      <c r="Q45" s="112"/>
    </row>
    <row r="46" spans="1:17">
      <c r="A46" s="35"/>
      <c r="B46" s="35"/>
      <c r="C46" s="35"/>
      <c r="D46" s="40"/>
      <c r="E46" s="63"/>
      <c r="F46" s="63"/>
      <c r="G46" s="63"/>
      <c r="H46" s="63"/>
      <c r="I46" s="63"/>
      <c r="J46" s="63"/>
      <c r="K46" s="63"/>
      <c r="L46" s="63"/>
      <c r="M46" s="112"/>
      <c r="N46" s="112"/>
      <c r="O46" s="35"/>
      <c r="P46" s="35"/>
      <c r="Q46" s="112"/>
    </row>
    <row r="47" spans="1:17">
      <c r="A47" s="35"/>
      <c r="B47" s="35"/>
      <c r="C47" s="35"/>
      <c r="D47" s="40"/>
      <c r="E47" s="63"/>
      <c r="F47" s="63"/>
      <c r="G47" s="63"/>
      <c r="H47" s="63"/>
      <c r="I47" s="63"/>
      <c r="J47" s="63"/>
      <c r="K47" s="63"/>
      <c r="L47" s="63"/>
      <c r="M47" s="112"/>
      <c r="N47" s="112"/>
      <c r="O47" s="35"/>
      <c r="P47" s="35"/>
      <c r="Q47" s="112"/>
    </row>
  </sheetData>
  <pageMargins left="0.7" right="0.7" top="0.75" bottom="0.75" header="0.3" footer="0.3"/>
  <pageSetup paperSize="9" orientation="portrait" r:id="rId1"/>
  <customProperties>
    <customPr name="_pios_id" r:id="rId2"/>
  </customPropertie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A7B25-E95B-4B23-9B96-4CB0021478CF}">
  <dimension ref="D1:Q44"/>
  <sheetViews>
    <sheetView showGridLines="0" zoomScaleNormal="100" workbookViewId="0">
      <selection activeCell="D1" sqref="D1"/>
    </sheetView>
  </sheetViews>
  <sheetFormatPr defaultColWidth="8.81640625" defaultRowHeight="14.5"/>
  <cols>
    <col min="4" max="4" width="53.453125" customWidth="1"/>
    <col min="5" max="5" width="10" style="15" customWidth="1"/>
    <col min="6" max="6" width="9.7265625" style="15" customWidth="1"/>
    <col min="7" max="12" width="10.81640625" style="15" customWidth="1"/>
    <col min="13" max="14" width="10.81640625" style="6" customWidth="1"/>
    <col min="15" max="15" width="10.81640625" style="15" bestFit="1" customWidth="1"/>
    <col min="16" max="17" width="10.81640625" style="117" bestFit="1" customWidth="1"/>
  </cols>
  <sheetData>
    <row r="1" spans="4:17">
      <c r="D1" s="2" t="s">
        <v>10</v>
      </c>
    </row>
    <row r="4" spans="4:17">
      <c r="D4" s="4"/>
    </row>
    <row r="6" spans="4:17">
      <c r="L6" s="117"/>
    </row>
    <row r="7" spans="4:17">
      <c r="M7" s="63"/>
    </row>
    <row r="9" spans="4:17" ht="31.5" thickBot="1">
      <c r="D9" s="151" t="s">
        <v>297</v>
      </c>
      <c r="E9" s="24" t="s">
        <v>337</v>
      </c>
      <c r="F9" s="24" t="s">
        <v>338</v>
      </c>
      <c r="G9" s="24" t="s">
        <v>339</v>
      </c>
      <c r="H9" s="118" t="s">
        <v>340</v>
      </c>
      <c r="I9" s="118" t="s">
        <v>341</v>
      </c>
      <c r="J9" s="118" t="s">
        <v>342</v>
      </c>
      <c r="K9" s="118" t="s">
        <v>119</v>
      </c>
      <c r="L9" s="118" t="s">
        <v>79</v>
      </c>
      <c r="M9" s="118" t="s">
        <v>343</v>
      </c>
      <c r="N9" s="118" t="s">
        <v>344</v>
      </c>
      <c r="O9" s="114" t="s">
        <v>82</v>
      </c>
      <c r="P9" s="114" t="s">
        <v>83</v>
      </c>
      <c r="Q9" s="114" t="s">
        <v>447</v>
      </c>
    </row>
    <row r="10" spans="4:17">
      <c r="D10" s="8" t="s">
        <v>345</v>
      </c>
      <c r="E10" s="109"/>
      <c r="F10" s="109"/>
      <c r="G10" s="109"/>
      <c r="H10" s="109"/>
      <c r="I10" s="109"/>
      <c r="J10" s="109"/>
      <c r="K10" s="109"/>
      <c r="L10" s="109"/>
      <c r="M10" s="109"/>
      <c r="N10" s="109"/>
      <c r="O10" s="109"/>
      <c r="P10" s="140"/>
      <c r="Q10" s="140"/>
    </row>
    <row r="11" spans="4:17">
      <c r="D11" s="8" t="s">
        <v>346</v>
      </c>
      <c r="E11" s="109"/>
      <c r="F11" s="109"/>
      <c r="G11" s="109"/>
      <c r="H11" s="109"/>
      <c r="I11" s="109"/>
      <c r="J11" s="109"/>
      <c r="K11" s="109"/>
      <c r="L11" s="109"/>
      <c r="M11" s="109"/>
      <c r="N11" s="109"/>
      <c r="O11" s="109"/>
      <c r="P11" s="140"/>
      <c r="Q11" s="140"/>
    </row>
    <row r="12" spans="4:17">
      <c r="D12" s="4" t="s">
        <v>347</v>
      </c>
      <c r="E12" s="6">
        <v>15666</v>
      </c>
      <c r="F12" s="6">
        <v>17271</v>
      </c>
      <c r="G12" s="6">
        <v>20649</v>
      </c>
      <c r="H12" s="6">
        <v>22834</v>
      </c>
      <c r="I12" s="6">
        <v>25368</v>
      </c>
      <c r="J12" s="6">
        <v>29157</v>
      </c>
      <c r="K12" s="6">
        <v>29626</v>
      </c>
      <c r="L12" s="6">
        <v>32786</v>
      </c>
      <c r="M12" s="6">
        <v>37168</v>
      </c>
      <c r="N12" s="6">
        <v>43840</v>
      </c>
      <c r="O12" s="6">
        <v>56994</v>
      </c>
      <c r="P12" s="6">
        <v>72104</v>
      </c>
      <c r="Q12" s="6">
        <v>83781</v>
      </c>
    </row>
    <row r="13" spans="4:17" ht="16.5">
      <c r="D13" s="4" t="s">
        <v>348</v>
      </c>
      <c r="E13" s="6">
        <v>25654</v>
      </c>
      <c r="F13" s="6">
        <v>25653</v>
      </c>
      <c r="G13" s="6">
        <v>36122</v>
      </c>
      <c r="H13" s="6">
        <v>37428</v>
      </c>
      <c r="I13" s="6">
        <v>45468</v>
      </c>
      <c r="J13" s="6">
        <v>55245</v>
      </c>
      <c r="K13" s="6">
        <v>61208</v>
      </c>
      <c r="L13" s="6">
        <v>69738</v>
      </c>
      <c r="M13" s="6">
        <v>62455</v>
      </c>
      <c r="N13" s="6">
        <v>71415</v>
      </c>
      <c r="O13" s="6">
        <v>77252</v>
      </c>
      <c r="P13" s="6">
        <v>84113</v>
      </c>
      <c r="Q13" s="6">
        <v>107124</v>
      </c>
    </row>
    <row r="14" spans="4:17" ht="16.5">
      <c r="D14" s="4" t="s">
        <v>350</v>
      </c>
      <c r="E14" s="6">
        <v>3542</v>
      </c>
      <c r="F14" s="6">
        <v>189</v>
      </c>
      <c r="G14" s="6">
        <v>1942</v>
      </c>
      <c r="H14" s="6">
        <v>2172</v>
      </c>
      <c r="I14" s="6">
        <v>2483</v>
      </c>
      <c r="J14" s="6">
        <v>2577</v>
      </c>
      <c r="K14" s="6">
        <v>2523</v>
      </c>
      <c r="L14" s="6">
        <v>3243</v>
      </c>
      <c r="M14" s="6" t="s">
        <v>124</v>
      </c>
      <c r="N14" s="6" t="s">
        <v>124</v>
      </c>
      <c r="O14" s="6" t="s">
        <v>124</v>
      </c>
      <c r="P14" s="6" t="s">
        <v>124</v>
      </c>
      <c r="Q14" s="6" t="s">
        <v>124</v>
      </c>
    </row>
    <row r="15" spans="4:17">
      <c r="D15" s="4" t="s">
        <v>197</v>
      </c>
      <c r="E15" s="6" t="s">
        <v>124</v>
      </c>
      <c r="F15" s="6" t="s">
        <v>124</v>
      </c>
      <c r="G15" s="6" t="s">
        <v>124</v>
      </c>
      <c r="H15" s="6" t="s">
        <v>124</v>
      </c>
      <c r="I15" s="6">
        <v>54</v>
      </c>
      <c r="J15" s="6">
        <v>54</v>
      </c>
      <c r="K15" s="6">
        <v>54</v>
      </c>
      <c r="L15" s="6">
        <v>54</v>
      </c>
      <c r="M15" s="6" t="s">
        <v>124</v>
      </c>
      <c r="N15" s="6" t="s">
        <v>124</v>
      </c>
      <c r="O15" s="6" t="s">
        <v>124</v>
      </c>
      <c r="P15" s="6" t="s">
        <v>124</v>
      </c>
      <c r="Q15" s="6" t="s">
        <v>124</v>
      </c>
    </row>
    <row r="16" spans="4:17">
      <c r="D16" s="4" t="s">
        <v>349</v>
      </c>
      <c r="E16" s="6">
        <v>550</v>
      </c>
      <c r="F16" s="6">
        <v>1159</v>
      </c>
      <c r="G16" s="6">
        <v>612</v>
      </c>
      <c r="H16" s="6">
        <v>701</v>
      </c>
      <c r="I16" s="6">
        <v>2498</v>
      </c>
      <c r="J16" s="6">
        <v>5480</v>
      </c>
      <c r="K16" s="6">
        <v>7003</v>
      </c>
      <c r="L16" s="6">
        <v>9211</v>
      </c>
      <c r="M16" s="6">
        <v>9997</v>
      </c>
      <c r="N16" s="6">
        <v>6931</v>
      </c>
      <c r="O16" s="6">
        <v>15599</v>
      </c>
      <c r="P16" s="6">
        <v>14142</v>
      </c>
      <c r="Q16" s="6">
        <v>8998</v>
      </c>
    </row>
    <row r="17" spans="4:17">
      <c r="D17" s="4" t="s">
        <v>451</v>
      </c>
      <c r="E17" s="6">
        <v>10</v>
      </c>
      <c r="F17" s="6">
        <v>10</v>
      </c>
      <c r="G17" s="6">
        <v>13</v>
      </c>
      <c r="H17" s="6">
        <v>15</v>
      </c>
      <c r="I17" s="6">
        <v>79</v>
      </c>
      <c r="J17" s="6">
        <v>80</v>
      </c>
      <c r="K17" s="6">
        <v>190</v>
      </c>
      <c r="L17" s="6">
        <v>296</v>
      </c>
      <c r="M17" s="6">
        <v>2449</v>
      </c>
      <c r="N17" s="6">
        <v>1765</v>
      </c>
      <c r="O17" s="6">
        <v>4353</v>
      </c>
      <c r="P17" s="6">
        <v>12066</v>
      </c>
      <c r="Q17" s="6">
        <v>12753</v>
      </c>
    </row>
    <row r="18" spans="4:17">
      <c r="D18" s="4" t="s">
        <v>351</v>
      </c>
      <c r="E18" s="6">
        <v>1820</v>
      </c>
      <c r="F18" s="6">
        <v>2165</v>
      </c>
      <c r="G18" s="6">
        <v>3107</v>
      </c>
      <c r="H18" s="6">
        <v>3841</v>
      </c>
      <c r="I18" s="6">
        <v>4112</v>
      </c>
      <c r="J18" s="6">
        <v>4557.7034424186804</v>
      </c>
      <c r="K18" s="6">
        <v>6586</v>
      </c>
      <c r="L18" s="6">
        <v>7275</v>
      </c>
      <c r="M18" s="6">
        <v>7164</v>
      </c>
      <c r="N18" s="6">
        <v>7367</v>
      </c>
      <c r="O18" s="6">
        <v>9131</v>
      </c>
      <c r="P18" s="6">
        <v>10135</v>
      </c>
      <c r="Q18" s="6">
        <v>10982</v>
      </c>
    </row>
    <row r="19" spans="4:17">
      <c r="D19" s="4" t="s">
        <v>452</v>
      </c>
      <c r="E19" s="6" t="s">
        <v>124</v>
      </c>
      <c r="F19" s="6" t="s">
        <v>124</v>
      </c>
      <c r="G19" s="6" t="s">
        <v>124</v>
      </c>
      <c r="H19" s="6" t="s">
        <v>124</v>
      </c>
      <c r="I19" s="6" t="s">
        <v>124</v>
      </c>
      <c r="J19" s="6" t="s">
        <v>124</v>
      </c>
      <c r="K19" s="6" t="s">
        <v>124</v>
      </c>
      <c r="L19" s="6" t="s">
        <v>124</v>
      </c>
      <c r="M19" s="6" t="s">
        <v>124</v>
      </c>
      <c r="N19" s="6">
        <v>5046</v>
      </c>
      <c r="O19" s="6">
        <v>3354</v>
      </c>
      <c r="P19" s="6">
        <v>1327</v>
      </c>
      <c r="Q19" s="6">
        <v>1440</v>
      </c>
    </row>
    <row r="20" spans="4:17" ht="16.5">
      <c r="D20" s="4" t="s">
        <v>453</v>
      </c>
      <c r="E20" s="6" t="s">
        <v>124</v>
      </c>
      <c r="F20" s="6" t="s">
        <v>124</v>
      </c>
      <c r="G20" s="6" t="s">
        <v>124</v>
      </c>
      <c r="H20" s="6">
        <v>54</v>
      </c>
      <c r="I20" s="6" t="s">
        <v>124</v>
      </c>
      <c r="J20" s="6" t="s">
        <v>124</v>
      </c>
      <c r="K20" s="6" t="s">
        <v>124</v>
      </c>
      <c r="L20" s="6" t="s">
        <v>124</v>
      </c>
      <c r="M20" s="6">
        <v>1277</v>
      </c>
      <c r="N20" s="6">
        <v>169</v>
      </c>
      <c r="O20" s="6">
        <v>1128</v>
      </c>
      <c r="P20" s="6">
        <v>2094</v>
      </c>
      <c r="Q20" s="6">
        <v>283</v>
      </c>
    </row>
    <row r="21" spans="4:17" ht="16.5">
      <c r="D21" s="4" t="s">
        <v>454</v>
      </c>
      <c r="E21" s="6">
        <v>734</v>
      </c>
      <c r="F21" s="6">
        <v>1077</v>
      </c>
      <c r="G21" s="6">
        <v>11656</v>
      </c>
      <c r="H21" s="6">
        <v>1326</v>
      </c>
      <c r="I21" s="6">
        <v>2013</v>
      </c>
      <c r="J21" s="6">
        <v>3704</v>
      </c>
      <c r="K21" s="6">
        <v>2982</v>
      </c>
      <c r="L21" s="6">
        <v>3253</v>
      </c>
      <c r="M21" s="6">
        <v>3481</v>
      </c>
      <c r="N21" s="6">
        <v>4863</v>
      </c>
      <c r="O21" s="6">
        <v>3994</v>
      </c>
      <c r="P21" s="6">
        <v>3426</v>
      </c>
      <c r="Q21" s="6">
        <v>4262</v>
      </c>
    </row>
    <row r="22" spans="4:17">
      <c r="D22" s="120" t="s">
        <v>352</v>
      </c>
      <c r="E22" s="115">
        <v>47976</v>
      </c>
      <c r="F22" s="115">
        <v>49225</v>
      </c>
      <c r="G22" s="115">
        <v>74101</v>
      </c>
      <c r="H22" s="115">
        <v>68317</v>
      </c>
      <c r="I22" s="115">
        <v>82075</v>
      </c>
      <c r="J22" s="115">
        <v>100854.70344241869</v>
      </c>
      <c r="K22" s="115">
        <v>110172</v>
      </c>
      <c r="L22" s="115">
        <v>125856</v>
      </c>
      <c r="M22" s="115">
        <v>123991</v>
      </c>
      <c r="N22" s="115">
        <v>141396</v>
      </c>
      <c r="O22" s="115">
        <v>171805</v>
      </c>
      <c r="P22" s="115">
        <v>199407</v>
      </c>
      <c r="Q22" s="115">
        <v>229623</v>
      </c>
    </row>
    <row r="23" spans="4:17">
      <c r="D23" s="4"/>
      <c r="E23" s="6"/>
      <c r="F23" s="6"/>
      <c r="G23" s="6"/>
      <c r="H23" s="6"/>
      <c r="I23" s="6"/>
      <c r="J23" s="6"/>
      <c r="K23" s="6"/>
      <c r="L23" s="6"/>
      <c r="O23" s="6"/>
    </row>
    <row r="24" spans="4:17">
      <c r="D24" s="8" t="s">
        <v>353</v>
      </c>
      <c r="E24" s="109"/>
      <c r="F24" s="109"/>
      <c r="G24" s="109"/>
      <c r="H24" s="109"/>
      <c r="I24" s="109"/>
      <c r="J24" s="109"/>
      <c r="K24" s="109"/>
      <c r="L24" s="109"/>
      <c r="M24" s="109"/>
      <c r="N24" s="109"/>
      <c r="O24" s="109"/>
      <c r="P24" s="140"/>
      <c r="Q24" s="140"/>
    </row>
    <row r="25" spans="4:17">
      <c r="D25" s="4" t="s">
        <v>354</v>
      </c>
      <c r="E25" s="6">
        <v>11812</v>
      </c>
      <c r="F25" s="6">
        <v>14416</v>
      </c>
      <c r="G25" s="6">
        <v>17724</v>
      </c>
      <c r="H25" s="6">
        <v>20306</v>
      </c>
      <c r="I25" s="6">
        <v>21198</v>
      </c>
      <c r="J25" s="6">
        <v>30665</v>
      </c>
      <c r="K25" s="6">
        <v>35163</v>
      </c>
      <c r="L25" s="6">
        <v>38911</v>
      </c>
      <c r="M25" s="6">
        <v>35513</v>
      </c>
      <c r="N25" s="6">
        <v>36603</v>
      </c>
      <c r="O25" s="6">
        <v>46951</v>
      </c>
      <c r="P25" s="6">
        <v>57058</v>
      </c>
      <c r="Q25" s="6">
        <v>62455</v>
      </c>
    </row>
    <row r="26" spans="4:17">
      <c r="D26" s="4" t="s">
        <v>455</v>
      </c>
      <c r="E26" s="6">
        <v>4735</v>
      </c>
      <c r="F26" s="6">
        <v>5618</v>
      </c>
      <c r="G26" s="6">
        <v>7674</v>
      </c>
      <c r="H26" s="6">
        <v>8805</v>
      </c>
      <c r="I26" s="6">
        <v>8717</v>
      </c>
      <c r="J26" s="6">
        <v>10832</v>
      </c>
      <c r="K26" s="6">
        <v>13704</v>
      </c>
      <c r="L26" s="6">
        <v>13243</v>
      </c>
      <c r="M26" s="6">
        <v>14776</v>
      </c>
      <c r="N26" s="6">
        <v>18553</v>
      </c>
      <c r="O26" s="6">
        <v>25239</v>
      </c>
      <c r="P26" s="6">
        <v>19284</v>
      </c>
      <c r="Q26" s="6">
        <v>22780</v>
      </c>
    </row>
    <row r="27" spans="4:17">
      <c r="D27" s="4" t="s">
        <v>197</v>
      </c>
      <c r="E27" s="6" t="s">
        <v>124</v>
      </c>
      <c r="F27" s="6" t="s">
        <v>124</v>
      </c>
      <c r="G27" s="6" t="s">
        <v>124</v>
      </c>
      <c r="H27" s="6">
        <v>54</v>
      </c>
      <c r="I27" s="6" t="s">
        <v>124</v>
      </c>
      <c r="J27" s="6" t="s">
        <v>124</v>
      </c>
      <c r="K27" s="6" t="s">
        <v>124</v>
      </c>
      <c r="L27" s="6" t="s">
        <v>124</v>
      </c>
      <c r="M27" s="6" t="s">
        <v>124</v>
      </c>
      <c r="N27" s="6" t="s">
        <v>124</v>
      </c>
      <c r="O27" s="6" t="s">
        <v>124</v>
      </c>
      <c r="P27" s="6" t="s">
        <v>124</v>
      </c>
      <c r="Q27" s="6" t="s">
        <v>124</v>
      </c>
    </row>
    <row r="28" spans="4:17">
      <c r="D28" s="4" t="s">
        <v>355</v>
      </c>
      <c r="E28" s="6">
        <v>87</v>
      </c>
      <c r="F28" s="6">
        <v>97</v>
      </c>
      <c r="G28" s="6">
        <v>355</v>
      </c>
      <c r="H28" s="6">
        <v>307</v>
      </c>
      <c r="I28" s="6">
        <v>293</v>
      </c>
      <c r="J28" s="6">
        <v>463</v>
      </c>
      <c r="K28" s="6">
        <v>573</v>
      </c>
      <c r="L28" s="6">
        <v>987</v>
      </c>
      <c r="M28" s="6">
        <v>886</v>
      </c>
      <c r="N28" s="6">
        <v>951</v>
      </c>
      <c r="O28" s="6">
        <v>1763</v>
      </c>
      <c r="P28" s="6">
        <v>997</v>
      </c>
      <c r="Q28" s="6">
        <v>1854</v>
      </c>
    </row>
    <row r="29" spans="4:17" ht="16.5">
      <c r="D29" s="4" t="s">
        <v>456</v>
      </c>
      <c r="E29" s="6" t="s">
        <v>124</v>
      </c>
      <c r="F29" s="6" t="s">
        <v>124</v>
      </c>
      <c r="G29" s="6" t="s">
        <v>124</v>
      </c>
      <c r="H29" s="6">
        <v>54</v>
      </c>
      <c r="I29" s="6" t="s">
        <v>124</v>
      </c>
      <c r="J29" s="6" t="s">
        <v>124</v>
      </c>
      <c r="K29" s="6" t="s">
        <v>124</v>
      </c>
      <c r="L29" s="6" t="s">
        <v>124</v>
      </c>
      <c r="M29" s="6">
        <v>718</v>
      </c>
      <c r="N29" s="6">
        <v>824</v>
      </c>
      <c r="O29" s="6">
        <v>1769</v>
      </c>
      <c r="P29" s="6">
        <v>1988</v>
      </c>
      <c r="Q29" s="6">
        <v>485</v>
      </c>
    </row>
    <row r="30" spans="4:17" ht="16.5">
      <c r="D30" s="4" t="s">
        <v>457</v>
      </c>
      <c r="E30" s="6">
        <v>2587</v>
      </c>
      <c r="F30" s="6">
        <v>2781</v>
      </c>
      <c r="G30" s="6">
        <v>5332</v>
      </c>
      <c r="H30" s="6">
        <v>5393</v>
      </c>
      <c r="I30" s="6">
        <v>5757</v>
      </c>
      <c r="J30" s="6">
        <v>7955</v>
      </c>
      <c r="K30" s="6">
        <v>9875</v>
      </c>
      <c r="L30" s="6">
        <v>8855</v>
      </c>
      <c r="M30" s="6">
        <v>8434</v>
      </c>
      <c r="N30" s="6">
        <v>10860</v>
      </c>
      <c r="O30" s="6">
        <v>16239</v>
      </c>
      <c r="P30" s="6">
        <v>19849</v>
      </c>
      <c r="Q30" s="6">
        <v>14665</v>
      </c>
    </row>
    <row r="31" spans="4:17">
      <c r="D31" s="4" t="s">
        <v>201</v>
      </c>
      <c r="E31" s="6" t="s">
        <v>124</v>
      </c>
      <c r="F31" s="6">
        <v>88</v>
      </c>
      <c r="G31" s="6">
        <v>1047</v>
      </c>
      <c r="H31" s="6">
        <v>3512</v>
      </c>
      <c r="I31" s="6">
        <v>4738</v>
      </c>
      <c r="J31" s="6">
        <v>3992</v>
      </c>
      <c r="K31" s="6">
        <v>1577</v>
      </c>
      <c r="L31" s="6">
        <v>3518</v>
      </c>
      <c r="M31" s="6">
        <v>8087</v>
      </c>
      <c r="N31" s="6">
        <v>7996</v>
      </c>
      <c r="O31" s="6">
        <v>3415</v>
      </c>
      <c r="P31" s="6">
        <v>9918</v>
      </c>
      <c r="Q31" s="6" t="s">
        <v>124</v>
      </c>
    </row>
    <row r="32" spans="4:17">
      <c r="D32" s="4" t="s">
        <v>200</v>
      </c>
      <c r="E32" s="6">
        <v>9607</v>
      </c>
      <c r="F32" s="6">
        <v>15372</v>
      </c>
      <c r="G32" s="6">
        <v>17002</v>
      </c>
      <c r="H32" s="6">
        <v>25623</v>
      </c>
      <c r="I32" s="6">
        <v>38635</v>
      </c>
      <c r="J32" s="6">
        <v>35402</v>
      </c>
      <c r="K32" s="6">
        <v>40170</v>
      </c>
      <c r="L32" s="6">
        <v>51997</v>
      </c>
      <c r="M32" s="6">
        <v>61592</v>
      </c>
      <c r="N32" s="6">
        <v>62265</v>
      </c>
      <c r="O32" s="6">
        <v>63743</v>
      </c>
      <c r="P32" s="6">
        <v>47861</v>
      </c>
      <c r="Q32" s="6">
        <v>56373</v>
      </c>
    </row>
    <row r="33" spans="4:17">
      <c r="D33" s="4" t="s">
        <v>356</v>
      </c>
      <c r="E33" s="6" t="s">
        <v>124</v>
      </c>
      <c r="F33" s="6" t="s">
        <v>124</v>
      </c>
      <c r="G33" s="6" t="s">
        <v>124</v>
      </c>
      <c r="H33" s="6" t="s">
        <v>124</v>
      </c>
      <c r="I33" s="6" t="s">
        <v>124</v>
      </c>
      <c r="J33" s="6" t="s">
        <v>124</v>
      </c>
      <c r="K33" s="6" t="s">
        <v>124</v>
      </c>
      <c r="L33" s="6" t="s">
        <v>124</v>
      </c>
      <c r="M33" s="6">
        <v>7849</v>
      </c>
      <c r="N33" s="6">
        <v>3910</v>
      </c>
      <c r="O33" s="6" t="s">
        <v>124</v>
      </c>
      <c r="P33" s="6" t="s">
        <v>124</v>
      </c>
      <c r="Q33" s="6" t="s">
        <v>124</v>
      </c>
    </row>
    <row r="34" spans="4:17">
      <c r="D34" s="120" t="s">
        <v>357</v>
      </c>
      <c r="E34" s="115">
        <v>28828</v>
      </c>
      <c r="F34" s="115">
        <v>38372</v>
      </c>
      <c r="G34" s="115">
        <v>49134</v>
      </c>
      <c r="H34" s="115">
        <v>64000</v>
      </c>
      <c r="I34" s="115">
        <v>79338</v>
      </c>
      <c r="J34" s="115">
        <v>89309</v>
      </c>
      <c r="K34" s="115">
        <v>101062</v>
      </c>
      <c r="L34" s="115">
        <v>117511</v>
      </c>
      <c r="M34" s="115">
        <v>137855</v>
      </c>
      <c r="N34" s="115">
        <v>141962</v>
      </c>
      <c r="O34" s="115">
        <v>159119</v>
      </c>
      <c r="P34" s="115">
        <v>156955</v>
      </c>
      <c r="Q34" s="115">
        <v>158612</v>
      </c>
    </row>
    <row r="35" spans="4:17" ht="15" thickBot="1">
      <c r="D35" s="121"/>
      <c r="E35" s="116"/>
      <c r="F35" s="116"/>
      <c r="G35" s="116"/>
      <c r="H35" s="116"/>
      <c r="I35" s="116"/>
      <c r="J35" s="116"/>
      <c r="K35" s="116"/>
      <c r="L35" s="116"/>
      <c r="M35" s="116"/>
      <c r="N35" s="116"/>
      <c r="O35" s="116"/>
      <c r="P35" s="116"/>
      <c r="Q35" s="116"/>
    </row>
    <row r="36" spans="4:17" s="2" customFormat="1" ht="15" thickTop="1">
      <c r="D36" s="8" t="s">
        <v>358</v>
      </c>
      <c r="E36" s="109">
        <v>76804</v>
      </c>
      <c r="F36" s="109">
        <v>87597</v>
      </c>
      <c r="G36" s="109">
        <v>123235</v>
      </c>
      <c r="H36" s="109">
        <v>132317</v>
      </c>
      <c r="I36" s="109">
        <v>161413</v>
      </c>
      <c r="J36" s="109">
        <v>190163.70344241869</v>
      </c>
      <c r="K36" s="109">
        <v>211234</v>
      </c>
      <c r="L36" s="109">
        <v>243367</v>
      </c>
      <c r="M36" s="109">
        <v>261846</v>
      </c>
      <c r="N36" s="109">
        <v>283358</v>
      </c>
      <c r="O36" s="109">
        <v>330924</v>
      </c>
      <c r="P36" s="109">
        <v>356362</v>
      </c>
      <c r="Q36" s="109">
        <v>388235</v>
      </c>
    </row>
    <row r="39" spans="4:17">
      <c r="D39" s="105"/>
      <c r="E39" s="122"/>
      <c r="F39" s="122"/>
      <c r="G39" s="122"/>
    </row>
    <row r="40" spans="4:17" ht="31">
      <c r="D40" s="105" t="s">
        <v>359</v>
      </c>
      <c r="E40" s="122"/>
      <c r="F40" s="122"/>
      <c r="G40" s="123"/>
    </row>
    <row r="41" spans="4:17" ht="60">
      <c r="D41" s="105" t="s">
        <v>360</v>
      </c>
      <c r="E41" s="122"/>
      <c r="F41" s="122"/>
    </row>
    <row r="42" spans="4:17" ht="60">
      <c r="D42" s="105" t="s">
        <v>361</v>
      </c>
    </row>
    <row r="43" spans="4:17" ht="45.5">
      <c r="D43" s="105" t="s">
        <v>362</v>
      </c>
    </row>
    <row r="44" spans="4:17" ht="60">
      <c r="D44" s="105" t="s">
        <v>363</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7F495-4FC2-42A1-A540-89D79D51157A}">
  <dimension ref="D1:Q49"/>
  <sheetViews>
    <sheetView showGridLines="0" zoomScaleNormal="100" workbookViewId="0">
      <selection activeCell="D1" sqref="D1"/>
    </sheetView>
  </sheetViews>
  <sheetFormatPr defaultColWidth="19.1796875" defaultRowHeight="14.5"/>
  <cols>
    <col min="1" max="3" width="9.26953125" style="4" customWidth="1"/>
    <col min="4" max="4" width="59.1796875" style="4" customWidth="1"/>
    <col min="5" max="15" width="10.26953125" style="10" customWidth="1"/>
    <col min="16" max="17" width="10.26953125" style="268" customWidth="1"/>
    <col min="18" max="16384" width="19.1796875" style="4"/>
  </cols>
  <sheetData>
    <row r="1" spans="4:17">
      <c r="D1" s="8" t="s">
        <v>11</v>
      </c>
    </row>
    <row r="4" spans="4:17">
      <c r="I4" s="6"/>
    </row>
    <row r="7" spans="4:17">
      <c r="M7" s="63"/>
    </row>
    <row r="9" spans="4:17" s="124" customFormat="1" ht="46.4" customHeight="1" thickBot="1">
      <c r="D9" s="151" t="s">
        <v>297</v>
      </c>
      <c r="E9" s="24" t="s">
        <v>337</v>
      </c>
      <c r="F9" s="24" t="s">
        <v>338</v>
      </c>
      <c r="G9" s="24" t="s">
        <v>339</v>
      </c>
      <c r="H9" s="24" t="s">
        <v>340</v>
      </c>
      <c r="I9" s="24" t="s">
        <v>341</v>
      </c>
      <c r="J9" s="24" t="s">
        <v>342</v>
      </c>
      <c r="K9" s="24" t="s">
        <v>119</v>
      </c>
      <c r="L9" s="118" t="s">
        <v>79</v>
      </c>
      <c r="M9" s="118" t="s">
        <v>364</v>
      </c>
      <c r="N9" s="118" t="s">
        <v>365</v>
      </c>
      <c r="O9" s="114" t="s">
        <v>82</v>
      </c>
      <c r="P9" s="114" t="s">
        <v>83</v>
      </c>
      <c r="Q9" s="114" t="s">
        <v>447</v>
      </c>
    </row>
    <row r="10" spans="4:17">
      <c r="D10" s="8" t="s">
        <v>366</v>
      </c>
      <c r="E10" s="125"/>
      <c r="F10" s="126"/>
      <c r="G10" s="125"/>
      <c r="J10" s="3"/>
      <c r="K10" s="125"/>
      <c r="L10" s="125"/>
      <c r="M10" s="125"/>
      <c r="N10" s="125"/>
      <c r="O10" s="125"/>
      <c r="P10" s="266"/>
      <c r="Q10" s="266"/>
    </row>
    <row r="11" spans="4:17">
      <c r="D11" s="4" t="s">
        <v>367</v>
      </c>
      <c r="E11" s="6">
        <v>21901</v>
      </c>
      <c r="F11" s="6">
        <v>24638</v>
      </c>
      <c r="G11" s="6">
        <v>32804</v>
      </c>
      <c r="H11" s="6">
        <v>32550</v>
      </c>
      <c r="I11" s="6">
        <v>39536</v>
      </c>
      <c r="J11" s="6">
        <v>48729</v>
      </c>
      <c r="K11" s="6">
        <v>52873</v>
      </c>
      <c r="L11" s="6">
        <v>53883</v>
      </c>
      <c r="M11" s="6">
        <v>59179</v>
      </c>
      <c r="N11" s="6">
        <v>90185</v>
      </c>
      <c r="O11" s="6">
        <v>113947</v>
      </c>
      <c r="P11" s="6">
        <v>126371</v>
      </c>
      <c r="Q11" s="6">
        <v>137461</v>
      </c>
    </row>
    <row r="12" spans="4:17">
      <c r="D12" s="4" t="s">
        <v>323</v>
      </c>
      <c r="E12" s="6" t="s">
        <v>124</v>
      </c>
      <c r="F12" s="6" t="s">
        <v>124</v>
      </c>
      <c r="G12" s="6">
        <v>1464</v>
      </c>
      <c r="H12" s="6">
        <v>2085</v>
      </c>
      <c r="I12" s="6">
        <v>3774</v>
      </c>
      <c r="J12" s="6">
        <v>5931</v>
      </c>
      <c r="K12" s="6">
        <v>8378</v>
      </c>
      <c r="L12" s="6">
        <v>9765</v>
      </c>
      <c r="M12" s="6">
        <v>10773</v>
      </c>
      <c r="N12" s="6">
        <v>4327</v>
      </c>
      <c r="O12" s="6">
        <v>3331</v>
      </c>
      <c r="P12" s="6">
        <v>4114</v>
      </c>
      <c r="Q12" s="6">
        <v>4738</v>
      </c>
    </row>
    <row r="13" spans="4:17">
      <c r="D13" s="120" t="s">
        <v>211</v>
      </c>
      <c r="E13" s="115">
        <v>21901</v>
      </c>
      <c r="F13" s="115">
        <v>24638</v>
      </c>
      <c r="G13" s="115">
        <v>34268</v>
      </c>
      <c r="H13" s="115">
        <v>34635</v>
      </c>
      <c r="I13" s="115">
        <v>43310</v>
      </c>
      <c r="J13" s="115">
        <v>54660</v>
      </c>
      <c r="K13" s="115">
        <v>61251</v>
      </c>
      <c r="L13" s="115">
        <v>63648</v>
      </c>
      <c r="M13" s="115">
        <v>69952</v>
      </c>
      <c r="N13" s="115">
        <v>94512</v>
      </c>
      <c r="O13" s="115">
        <v>117278</v>
      </c>
      <c r="P13" s="115">
        <v>130485</v>
      </c>
      <c r="Q13" s="115">
        <v>142199</v>
      </c>
    </row>
    <row r="14" spans="4:17">
      <c r="E14" s="6"/>
      <c r="F14" s="6"/>
      <c r="G14" s="6"/>
      <c r="H14" s="6"/>
      <c r="I14" s="6"/>
      <c r="J14" s="6"/>
      <c r="K14" s="6"/>
      <c r="L14" s="6"/>
      <c r="M14" s="6"/>
      <c r="N14" s="6"/>
      <c r="O14" s="6"/>
      <c r="P14" s="117"/>
      <c r="Q14" s="117"/>
    </row>
    <row r="15" spans="4:17">
      <c r="D15" s="8" t="s">
        <v>368</v>
      </c>
      <c r="E15" s="109"/>
      <c r="F15" s="109"/>
      <c r="G15" s="109"/>
      <c r="H15" s="109"/>
      <c r="I15" s="109"/>
      <c r="J15" s="109"/>
      <c r="K15" s="109"/>
      <c r="L15" s="109"/>
      <c r="M15" s="109"/>
      <c r="N15" s="109"/>
      <c r="O15" s="109"/>
      <c r="P15" s="140"/>
      <c r="Q15" s="140"/>
    </row>
    <row r="16" spans="4:17">
      <c r="D16" s="4" t="s">
        <v>369</v>
      </c>
      <c r="E16" s="6">
        <v>5492</v>
      </c>
      <c r="F16" s="6">
        <v>3641</v>
      </c>
      <c r="G16" s="6">
        <v>6186</v>
      </c>
      <c r="H16" s="6">
        <v>4701</v>
      </c>
      <c r="I16" s="6">
        <v>6348</v>
      </c>
      <c r="J16" s="6">
        <v>6525</v>
      </c>
      <c r="K16" s="6">
        <v>8425</v>
      </c>
      <c r="L16" s="6">
        <v>12583</v>
      </c>
      <c r="M16" s="6">
        <v>14187</v>
      </c>
      <c r="N16" s="6">
        <v>11961</v>
      </c>
      <c r="O16" s="6">
        <v>6883</v>
      </c>
      <c r="P16" s="6">
        <v>7610</v>
      </c>
      <c r="Q16" s="6">
        <v>8111</v>
      </c>
    </row>
    <row r="17" spans="4:17">
      <c r="D17" s="4" t="s">
        <v>370</v>
      </c>
      <c r="E17" s="6">
        <v>1556</v>
      </c>
      <c r="F17" s="6">
        <v>1759</v>
      </c>
      <c r="G17" s="6">
        <v>3337</v>
      </c>
      <c r="H17" s="6">
        <v>1768</v>
      </c>
      <c r="I17" s="6">
        <v>1209</v>
      </c>
      <c r="J17" s="6">
        <v>1977</v>
      </c>
      <c r="K17" s="6">
        <v>1688</v>
      </c>
      <c r="L17" s="6">
        <v>975</v>
      </c>
      <c r="M17" s="6">
        <v>1044</v>
      </c>
      <c r="N17" s="6">
        <v>2340</v>
      </c>
      <c r="O17" s="6">
        <v>5392</v>
      </c>
      <c r="P17" s="6">
        <v>8293</v>
      </c>
      <c r="Q17" s="6">
        <v>11080</v>
      </c>
    </row>
    <row r="18" spans="4:17">
      <c r="D18" s="4" t="s">
        <v>458</v>
      </c>
      <c r="E18" s="6">
        <v>5911</v>
      </c>
      <c r="F18" s="6">
        <v>5463</v>
      </c>
      <c r="G18" s="6">
        <v>1660</v>
      </c>
      <c r="H18" s="6">
        <v>2111</v>
      </c>
      <c r="I18" s="6">
        <v>2704</v>
      </c>
      <c r="J18" s="6">
        <v>4962</v>
      </c>
      <c r="K18" s="6">
        <v>6189</v>
      </c>
      <c r="L18" s="6">
        <v>7291</v>
      </c>
      <c r="M18" s="6">
        <v>8155</v>
      </c>
      <c r="N18" s="6">
        <v>8623</v>
      </c>
      <c r="O18" s="6">
        <v>8398</v>
      </c>
      <c r="P18" s="6">
        <v>7582</v>
      </c>
      <c r="Q18" s="6">
        <v>9501</v>
      </c>
    </row>
    <row r="19" spans="4:17">
      <c r="D19" s="4" t="s">
        <v>459</v>
      </c>
      <c r="E19" s="6">
        <v>7057</v>
      </c>
      <c r="F19" s="6">
        <v>12033</v>
      </c>
      <c r="G19" s="6">
        <v>17345</v>
      </c>
      <c r="H19" s="6">
        <v>15168</v>
      </c>
      <c r="I19" s="6">
        <v>13910</v>
      </c>
      <c r="J19" s="6">
        <v>6622</v>
      </c>
      <c r="K19" s="6">
        <v>8273</v>
      </c>
      <c r="L19" s="6">
        <v>4489</v>
      </c>
      <c r="M19" s="6">
        <v>5882</v>
      </c>
      <c r="N19" s="6">
        <v>2543</v>
      </c>
      <c r="O19" s="6">
        <v>3096</v>
      </c>
      <c r="P19" s="6">
        <v>4562</v>
      </c>
      <c r="Q19" s="6">
        <v>3885</v>
      </c>
    </row>
    <row r="20" spans="4:17">
      <c r="D20" s="4" t="s">
        <v>460</v>
      </c>
      <c r="E20" s="6" t="s">
        <v>124</v>
      </c>
      <c r="F20" s="6" t="s">
        <v>124</v>
      </c>
      <c r="G20" s="6" t="s">
        <v>124</v>
      </c>
      <c r="H20" s="6" t="s">
        <v>124</v>
      </c>
      <c r="I20" s="6">
        <v>7699</v>
      </c>
      <c r="J20" s="6">
        <v>12735</v>
      </c>
      <c r="K20" s="6">
        <v>13200</v>
      </c>
      <c r="L20" s="6">
        <v>21643</v>
      </c>
      <c r="M20" s="6">
        <v>20950</v>
      </c>
      <c r="N20" s="6">
        <v>18401</v>
      </c>
      <c r="O20" s="6">
        <v>22959</v>
      </c>
      <c r="P20" s="6">
        <v>18087</v>
      </c>
      <c r="Q20" s="6">
        <v>18826</v>
      </c>
    </row>
    <row r="21" spans="4:17">
      <c r="D21" s="4" t="s">
        <v>461</v>
      </c>
      <c r="E21" s="6" t="s">
        <v>124</v>
      </c>
      <c r="F21" s="6" t="s">
        <v>124</v>
      </c>
      <c r="G21" s="6">
        <v>4554</v>
      </c>
      <c r="H21" s="6">
        <v>4332</v>
      </c>
      <c r="I21" s="6">
        <v>4662</v>
      </c>
      <c r="J21" s="6">
        <v>3662</v>
      </c>
      <c r="K21" s="6">
        <v>4184</v>
      </c>
      <c r="L21" s="6">
        <v>5210</v>
      </c>
      <c r="M21" s="6">
        <v>5630</v>
      </c>
      <c r="N21" s="6">
        <v>6967</v>
      </c>
      <c r="O21" s="6">
        <v>7144</v>
      </c>
      <c r="P21" s="6">
        <v>8148</v>
      </c>
      <c r="Q21" s="6">
        <v>10755</v>
      </c>
    </row>
    <row r="22" spans="4:17">
      <c r="D22" s="4" t="s">
        <v>371</v>
      </c>
      <c r="E22" s="6" t="s">
        <v>124</v>
      </c>
      <c r="F22" s="6" t="s">
        <v>124</v>
      </c>
      <c r="G22" s="6">
        <v>1143</v>
      </c>
      <c r="H22" s="6" t="s">
        <v>124</v>
      </c>
      <c r="I22" s="6" t="s">
        <v>124</v>
      </c>
      <c r="J22" s="6" t="s">
        <v>124</v>
      </c>
      <c r="K22" s="6" t="s">
        <v>124</v>
      </c>
      <c r="L22" s="6" t="s">
        <v>124</v>
      </c>
      <c r="M22" s="6" t="s">
        <v>124</v>
      </c>
      <c r="N22" s="6" t="s">
        <v>124</v>
      </c>
      <c r="O22" s="6" t="s">
        <v>124</v>
      </c>
      <c r="P22" s="6" t="s">
        <v>124</v>
      </c>
      <c r="Q22" s="6" t="s">
        <v>124</v>
      </c>
    </row>
    <row r="23" spans="4:17">
      <c r="D23" s="4" t="s">
        <v>462</v>
      </c>
      <c r="E23" s="6" t="s">
        <v>124</v>
      </c>
      <c r="F23" s="6" t="s">
        <v>124</v>
      </c>
      <c r="G23" s="6" t="s">
        <v>124</v>
      </c>
      <c r="H23" s="6" t="s">
        <v>124</v>
      </c>
      <c r="I23" s="6" t="s">
        <v>124</v>
      </c>
      <c r="J23" s="6" t="s">
        <v>124</v>
      </c>
      <c r="K23" s="6" t="s">
        <v>124</v>
      </c>
      <c r="L23" s="6">
        <v>5076</v>
      </c>
      <c r="M23" s="6">
        <v>4815</v>
      </c>
      <c r="N23" s="6">
        <v>5509</v>
      </c>
      <c r="O23" s="6">
        <v>4845</v>
      </c>
      <c r="P23" s="6">
        <v>4790</v>
      </c>
      <c r="Q23" s="6">
        <v>7745</v>
      </c>
    </row>
    <row r="24" spans="4:17" ht="16.5">
      <c r="D24" s="4" t="s">
        <v>463</v>
      </c>
      <c r="E24" s="6" t="s">
        <v>124</v>
      </c>
      <c r="F24" s="6" t="s">
        <v>124</v>
      </c>
      <c r="G24" s="6" t="s">
        <v>124</v>
      </c>
      <c r="H24" s="6" t="s">
        <v>124</v>
      </c>
      <c r="I24" s="6" t="s">
        <v>124</v>
      </c>
      <c r="J24" s="6" t="s">
        <v>124</v>
      </c>
      <c r="K24" s="6" t="s">
        <v>124</v>
      </c>
      <c r="L24" s="6" t="s">
        <v>124</v>
      </c>
      <c r="M24" s="6">
        <v>300</v>
      </c>
      <c r="N24" s="6">
        <v>348</v>
      </c>
      <c r="O24" s="6">
        <v>825</v>
      </c>
      <c r="P24" s="6">
        <v>424</v>
      </c>
      <c r="Q24" s="6">
        <v>1252</v>
      </c>
    </row>
    <row r="25" spans="4:17" ht="16.5">
      <c r="D25" s="4" t="s">
        <v>372</v>
      </c>
      <c r="E25" s="6">
        <v>1057</v>
      </c>
      <c r="F25" s="6">
        <v>1212</v>
      </c>
      <c r="G25" s="6">
        <v>1244</v>
      </c>
      <c r="H25" s="6">
        <v>2393</v>
      </c>
      <c r="I25" s="6">
        <v>5447</v>
      </c>
      <c r="J25" s="6">
        <v>2636</v>
      </c>
      <c r="K25" s="6">
        <v>4609</v>
      </c>
      <c r="L25" s="6">
        <v>6471</v>
      </c>
      <c r="M25" s="6">
        <v>4577</v>
      </c>
      <c r="N25" s="6">
        <v>6039</v>
      </c>
      <c r="O25" s="6">
        <v>4726</v>
      </c>
      <c r="P25" s="6">
        <v>5385</v>
      </c>
      <c r="Q25" s="6">
        <v>5298</v>
      </c>
    </row>
    <row r="26" spans="4:17">
      <c r="D26" s="120" t="s">
        <v>373</v>
      </c>
      <c r="E26" s="115">
        <v>21073</v>
      </c>
      <c r="F26" s="115">
        <v>24108</v>
      </c>
      <c r="G26" s="115">
        <v>35469</v>
      </c>
      <c r="H26" s="115">
        <v>30473</v>
      </c>
      <c r="I26" s="115">
        <v>41979</v>
      </c>
      <c r="J26" s="115">
        <v>39119</v>
      </c>
      <c r="K26" s="115">
        <v>46568</v>
      </c>
      <c r="L26" s="115">
        <v>63738</v>
      </c>
      <c r="M26" s="115">
        <v>65540</v>
      </c>
      <c r="N26" s="115">
        <v>62731</v>
      </c>
      <c r="O26" s="115">
        <v>64268</v>
      </c>
      <c r="P26" s="115">
        <v>64881</v>
      </c>
      <c r="Q26" s="115">
        <v>76453</v>
      </c>
    </row>
    <row r="27" spans="4:17">
      <c r="E27" s="6"/>
      <c r="F27" s="6"/>
      <c r="G27" s="6"/>
      <c r="H27" s="6"/>
      <c r="I27" s="6"/>
      <c r="J27" s="6"/>
      <c r="K27" s="6"/>
      <c r="L27" s="6"/>
      <c r="M27" s="6"/>
      <c r="N27" s="6"/>
      <c r="O27" s="6"/>
      <c r="P27" s="117"/>
      <c r="Q27" s="117"/>
    </row>
    <row r="28" spans="4:17">
      <c r="D28" s="8" t="s">
        <v>374</v>
      </c>
      <c r="E28" s="109"/>
      <c r="F28" s="109"/>
      <c r="G28" s="109"/>
      <c r="H28" s="109"/>
      <c r="I28" s="109"/>
      <c r="J28" s="109"/>
      <c r="K28" s="109"/>
      <c r="L28" s="109"/>
      <c r="M28" s="109"/>
      <c r="N28" s="109"/>
      <c r="O28" s="109"/>
      <c r="P28" s="140"/>
      <c r="Q28" s="140"/>
    </row>
    <row r="29" spans="4:17">
      <c r="D29" s="4" t="s">
        <v>464</v>
      </c>
      <c r="E29" s="6">
        <v>7182</v>
      </c>
      <c r="F29" s="6">
        <v>8169</v>
      </c>
      <c r="G29" s="6">
        <v>3645</v>
      </c>
      <c r="H29" s="6">
        <v>4018</v>
      </c>
      <c r="I29" s="6">
        <v>5487</v>
      </c>
      <c r="J29" s="6">
        <v>6513</v>
      </c>
      <c r="K29" s="6">
        <v>6936</v>
      </c>
      <c r="L29" s="6">
        <v>8357</v>
      </c>
      <c r="M29" s="6">
        <v>8530</v>
      </c>
      <c r="N29" s="6">
        <v>8607</v>
      </c>
      <c r="O29" s="6">
        <v>9051</v>
      </c>
      <c r="P29" s="6">
        <v>13117</v>
      </c>
      <c r="Q29" s="6">
        <v>11379</v>
      </c>
    </row>
    <row r="30" spans="4:17">
      <c r="D30" s="4" t="s">
        <v>465</v>
      </c>
      <c r="E30" s="6">
        <v>310</v>
      </c>
      <c r="F30" s="6">
        <v>820</v>
      </c>
      <c r="G30" s="6">
        <v>1560</v>
      </c>
      <c r="H30" s="6">
        <v>6246</v>
      </c>
      <c r="I30" s="6">
        <v>2813</v>
      </c>
      <c r="J30" s="6">
        <v>7426</v>
      </c>
      <c r="K30" s="6">
        <v>2175</v>
      </c>
      <c r="L30" s="6">
        <v>4105</v>
      </c>
      <c r="M30" s="6">
        <v>2512</v>
      </c>
      <c r="N30" s="6">
        <v>4471</v>
      </c>
      <c r="O30" s="6">
        <v>755</v>
      </c>
      <c r="P30" s="6">
        <v>937</v>
      </c>
      <c r="Q30" s="6">
        <v>1059</v>
      </c>
    </row>
    <row r="31" spans="4:17">
      <c r="D31" s="4" t="s">
        <v>466</v>
      </c>
      <c r="E31" s="6" t="s">
        <v>124</v>
      </c>
      <c r="F31" s="6" t="s">
        <v>124</v>
      </c>
      <c r="G31" s="6" t="s">
        <v>124</v>
      </c>
      <c r="H31" s="6" t="s">
        <v>124</v>
      </c>
      <c r="I31" s="6" t="s">
        <v>124</v>
      </c>
      <c r="J31" s="6" t="s">
        <v>124</v>
      </c>
      <c r="K31" s="6" t="s">
        <v>124</v>
      </c>
      <c r="L31" s="6" t="s">
        <v>124</v>
      </c>
      <c r="M31" s="6">
        <v>5017</v>
      </c>
      <c r="N31" s="6" t="s">
        <v>124</v>
      </c>
      <c r="O31" s="6">
        <v>2000</v>
      </c>
      <c r="P31" s="6">
        <v>6660</v>
      </c>
      <c r="Q31" s="6">
        <v>5723</v>
      </c>
    </row>
    <row r="32" spans="4:17">
      <c r="D32" s="4" t="s">
        <v>467</v>
      </c>
      <c r="E32" s="6">
        <v>187</v>
      </c>
      <c r="F32" s="6">
        <v>317</v>
      </c>
      <c r="G32" s="6">
        <v>7690</v>
      </c>
      <c r="H32" s="6">
        <v>9749</v>
      </c>
      <c r="I32" s="6">
        <v>11453</v>
      </c>
      <c r="J32" s="6">
        <v>14507</v>
      </c>
      <c r="K32" s="6">
        <v>17511</v>
      </c>
      <c r="L32" s="6">
        <v>20478</v>
      </c>
      <c r="M32" s="6">
        <v>21842</v>
      </c>
      <c r="N32" s="6">
        <v>22929</v>
      </c>
      <c r="O32" s="6">
        <v>26094</v>
      </c>
      <c r="P32" s="6">
        <v>30817</v>
      </c>
      <c r="Q32" s="6">
        <v>34997</v>
      </c>
    </row>
    <row r="33" spans="4:17">
      <c r="D33" s="4" t="s">
        <v>375</v>
      </c>
      <c r="E33" s="6">
        <v>12626</v>
      </c>
      <c r="F33" s="6">
        <v>13632</v>
      </c>
      <c r="G33" s="6">
        <v>18563</v>
      </c>
      <c r="H33" s="6">
        <v>26282</v>
      </c>
      <c r="I33" s="6">
        <v>30508</v>
      </c>
      <c r="J33" s="6">
        <v>38536</v>
      </c>
      <c r="K33" s="6">
        <v>43633</v>
      </c>
      <c r="L33" s="6">
        <v>44876</v>
      </c>
      <c r="M33" s="6">
        <v>46635</v>
      </c>
      <c r="N33" s="6">
        <v>48283</v>
      </c>
      <c r="O33" s="6">
        <v>68913</v>
      </c>
      <c r="P33" s="6">
        <v>62304</v>
      </c>
      <c r="Q33" s="6">
        <v>56479</v>
      </c>
    </row>
    <row r="34" spans="4:17">
      <c r="D34" s="4" t="s">
        <v>376</v>
      </c>
      <c r="E34" s="6">
        <v>365</v>
      </c>
      <c r="F34" s="6">
        <v>658</v>
      </c>
      <c r="G34" s="6">
        <v>627</v>
      </c>
      <c r="H34" s="6">
        <v>446</v>
      </c>
      <c r="I34" s="6">
        <v>626</v>
      </c>
      <c r="J34" s="6">
        <v>1380</v>
      </c>
      <c r="K34" s="6">
        <v>1645</v>
      </c>
      <c r="L34" s="6">
        <v>1302</v>
      </c>
      <c r="M34" s="6">
        <v>1486</v>
      </c>
      <c r="N34" s="6">
        <v>1402</v>
      </c>
      <c r="O34" s="6">
        <v>1566</v>
      </c>
      <c r="P34" s="6">
        <v>1607</v>
      </c>
      <c r="Q34" s="6">
        <v>1246</v>
      </c>
    </row>
    <row r="35" spans="4:17">
      <c r="D35" s="4" t="s">
        <v>371</v>
      </c>
      <c r="E35" s="6" t="s">
        <v>124</v>
      </c>
      <c r="F35" s="6" t="s">
        <v>124</v>
      </c>
      <c r="G35" s="6">
        <v>1651</v>
      </c>
      <c r="H35" s="6" t="s">
        <v>124</v>
      </c>
      <c r="I35" s="6" t="s">
        <v>124</v>
      </c>
      <c r="J35" s="6" t="s">
        <v>124</v>
      </c>
      <c r="K35" s="6" t="s">
        <v>124</v>
      </c>
      <c r="L35" s="6" t="s">
        <v>124</v>
      </c>
      <c r="M35" s="6" t="s">
        <v>124</v>
      </c>
      <c r="N35" s="6" t="s">
        <v>124</v>
      </c>
      <c r="O35" s="6" t="s">
        <v>124</v>
      </c>
      <c r="P35" s="6" t="s">
        <v>124</v>
      </c>
      <c r="Q35" s="6" t="s">
        <v>124</v>
      </c>
    </row>
    <row r="36" spans="4:17">
      <c r="D36" s="4" t="s">
        <v>468</v>
      </c>
      <c r="E36" s="6" t="s">
        <v>124</v>
      </c>
      <c r="F36" s="6" t="s">
        <v>124</v>
      </c>
      <c r="G36" s="6" t="s">
        <v>124</v>
      </c>
      <c r="H36" s="6" t="s">
        <v>124</v>
      </c>
      <c r="I36" s="6" t="s">
        <v>124</v>
      </c>
      <c r="J36" s="6" t="s">
        <v>124</v>
      </c>
      <c r="K36" s="6" t="s">
        <v>124</v>
      </c>
      <c r="L36" s="6">
        <v>1073</v>
      </c>
      <c r="M36" s="6">
        <v>1160</v>
      </c>
      <c r="N36" s="6">
        <v>1462</v>
      </c>
      <c r="O36" s="6">
        <v>1500</v>
      </c>
      <c r="P36" s="6">
        <v>1242</v>
      </c>
      <c r="Q36" s="6">
        <v>2490</v>
      </c>
    </row>
    <row r="37" spans="4:17" ht="16.5">
      <c r="D37" s="4" t="s">
        <v>469</v>
      </c>
      <c r="E37" s="6"/>
      <c r="F37" s="6" t="s">
        <v>124</v>
      </c>
      <c r="G37" s="6" t="s">
        <v>124</v>
      </c>
      <c r="H37" s="6" t="s">
        <v>124</v>
      </c>
      <c r="I37" s="6" t="s">
        <v>124</v>
      </c>
      <c r="J37" s="6" t="s">
        <v>124</v>
      </c>
      <c r="K37" s="6" t="s">
        <v>124</v>
      </c>
      <c r="L37" s="6" t="s">
        <v>124</v>
      </c>
      <c r="M37" s="6">
        <v>1705</v>
      </c>
      <c r="N37" s="6">
        <v>2312</v>
      </c>
      <c r="O37" s="6">
        <v>1809</v>
      </c>
      <c r="P37" s="6">
        <v>1055</v>
      </c>
      <c r="Q37" s="6">
        <v>2890</v>
      </c>
    </row>
    <row r="38" spans="4:17" ht="16.5">
      <c r="D38" s="4" t="s">
        <v>470</v>
      </c>
      <c r="E38" s="6">
        <v>13160</v>
      </c>
      <c r="F38" s="6">
        <v>15255</v>
      </c>
      <c r="G38" s="6">
        <v>19762</v>
      </c>
      <c r="H38" s="6">
        <v>20468</v>
      </c>
      <c r="I38" s="6">
        <v>25237</v>
      </c>
      <c r="J38" s="6">
        <v>28023</v>
      </c>
      <c r="K38" s="6">
        <v>31515</v>
      </c>
      <c r="L38" s="6">
        <v>35790</v>
      </c>
      <c r="M38" s="6">
        <v>35718</v>
      </c>
      <c r="N38" s="6">
        <v>34524</v>
      </c>
      <c r="O38" s="6">
        <v>37690</v>
      </c>
      <c r="P38" s="6">
        <v>43257</v>
      </c>
      <c r="Q38" s="6">
        <v>53320</v>
      </c>
    </row>
    <row r="39" spans="4:17">
      <c r="D39" s="4" t="s">
        <v>377</v>
      </c>
      <c r="E39" s="6" t="s">
        <v>124</v>
      </c>
      <c r="F39" s="6" t="s">
        <v>124</v>
      </c>
      <c r="G39" s="6" t="s">
        <v>124</v>
      </c>
      <c r="H39" s="6" t="s">
        <v>124</v>
      </c>
      <c r="I39" s="6" t="s">
        <v>124</v>
      </c>
      <c r="J39" s="6" t="s">
        <v>124</v>
      </c>
      <c r="K39" s="6" t="s">
        <v>124</v>
      </c>
      <c r="L39" s="6" t="s">
        <v>124</v>
      </c>
      <c r="M39" s="6">
        <v>1749</v>
      </c>
      <c r="N39" s="6">
        <v>2125</v>
      </c>
      <c r="O39" s="6" t="s">
        <v>124</v>
      </c>
      <c r="P39" s="6" t="s">
        <v>124</v>
      </c>
      <c r="Q39" s="6" t="s">
        <v>124</v>
      </c>
    </row>
    <row r="40" spans="4:17">
      <c r="D40" s="120" t="s">
        <v>378</v>
      </c>
      <c r="E40" s="115">
        <v>33830</v>
      </c>
      <c r="F40" s="115">
        <v>38851</v>
      </c>
      <c r="G40" s="115">
        <v>53498</v>
      </c>
      <c r="H40" s="115">
        <v>67209</v>
      </c>
      <c r="I40" s="115">
        <v>76124</v>
      </c>
      <c r="J40" s="115">
        <v>96385</v>
      </c>
      <c r="K40" s="115">
        <v>103415</v>
      </c>
      <c r="L40" s="115">
        <v>115981</v>
      </c>
      <c r="M40" s="115">
        <v>126354</v>
      </c>
      <c r="N40" s="115">
        <v>126115</v>
      </c>
      <c r="O40" s="115">
        <v>149378</v>
      </c>
      <c r="P40" s="115">
        <v>160996</v>
      </c>
      <c r="Q40" s="115">
        <v>169583</v>
      </c>
    </row>
    <row r="41" spans="4:17" ht="15" thickBot="1">
      <c r="D41" s="121"/>
      <c r="E41" s="116"/>
      <c r="F41" s="116"/>
      <c r="G41" s="116"/>
      <c r="H41" s="116"/>
      <c r="I41" s="116"/>
      <c r="J41" s="116"/>
      <c r="K41" s="116"/>
      <c r="L41" s="116"/>
      <c r="M41" s="116"/>
      <c r="N41" s="116"/>
      <c r="O41" s="116"/>
      <c r="P41" s="116"/>
      <c r="Q41" s="116"/>
    </row>
    <row r="42" spans="4:17" s="8" customFormat="1" ht="15" thickTop="1">
      <c r="D42" s="8" t="s">
        <v>379</v>
      </c>
      <c r="E42" s="109">
        <v>76804</v>
      </c>
      <c r="F42" s="109">
        <v>87597</v>
      </c>
      <c r="G42" s="109">
        <v>123235</v>
      </c>
      <c r="H42" s="109">
        <v>132317</v>
      </c>
      <c r="I42" s="109">
        <v>161413</v>
      </c>
      <c r="J42" s="109">
        <v>190164</v>
      </c>
      <c r="K42" s="109">
        <v>211234</v>
      </c>
      <c r="L42" s="109">
        <v>243367</v>
      </c>
      <c r="M42" s="109">
        <v>261846</v>
      </c>
      <c r="N42" s="109">
        <v>283358</v>
      </c>
      <c r="O42" s="109">
        <v>330924</v>
      </c>
      <c r="P42" s="109">
        <v>356362</v>
      </c>
      <c r="Q42" s="109">
        <v>388235</v>
      </c>
    </row>
    <row r="45" spans="4:17">
      <c r="D45" s="105"/>
      <c r="E45" s="127"/>
      <c r="F45" s="127"/>
      <c r="G45" s="127"/>
    </row>
    <row r="46" spans="4:17" ht="31">
      <c r="D46" s="105" t="s">
        <v>359</v>
      </c>
      <c r="E46" s="127"/>
      <c r="F46" s="122"/>
      <c r="G46" s="127"/>
    </row>
    <row r="47" spans="4:17" ht="62.25" customHeight="1">
      <c r="D47" s="105" t="s">
        <v>360</v>
      </c>
      <c r="E47" s="127"/>
      <c r="F47" s="127"/>
    </row>
    <row r="48" spans="4:17" ht="45.5">
      <c r="D48" s="105" t="s">
        <v>380</v>
      </c>
    </row>
    <row r="49" spans="4:4" ht="60">
      <c r="D49" s="105" t="s">
        <v>381</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AL78"/>
  <sheetViews>
    <sheetView showGridLines="0" zoomScaleNormal="100" workbookViewId="0">
      <pane xSplit="4" ySplit="9" topLeftCell="AH10" activePane="bottomRight" state="frozen"/>
      <selection pane="topRight" activeCell="I22" sqref="I22"/>
      <selection pane="bottomLeft" activeCell="I22" sqref="I22"/>
      <selection pane="bottomRight" activeCell="D1" sqref="D1"/>
    </sheetView>
  </sheetViews>
  <sheetFormatPr defaultColWidth="8.81640625" defaultRowHeight="14.5"/>
  <cols>
    <col min="4" max="4" width="59.453125" customWidth="1"/>
    <col min="5" max="12" width="8.7265625" style="15" customWidth="1"/>
    <col min="13" max="13" width="11.1796875" style="10" customWidth="1"/>
    <col min="14" max="15" width="9" style="14" customWidth="1"/>
    <col min="16" max="17" width="9" style="268" customWidth="1"/>
    <col min="18" max="18" width="8.453125" bestFit="1" customWidth="1"/>
    <col min="19" max="19" width="9.453125" style="14" bestFit="1" customWidth="1"/>
    <col min="20" max="22" width="9" style="14" bestFit="1" customWidth="1"/>
    <col min="23" max="23" width="9.453125" style="14" bestFit="1" customWidth="1"/>
    <col min="24" max="24" width="9" style="14" bestFit="1" customWidth="1"/>
    <col min="25" max="25" width="9.453125" style="15" bestFit="1" customWidth="1"/>
    <col min="26" max="28" width="9.1796875" style="14" bestFit="1" customWidth="1"/>
    <col min="32" max="38" width="8.81640625" style="161"/>
  </cols>
  <sheetData>
    <row r="1" spans="4:38">
      <c r="D1" s="2" t="s">
        <v>12</v>
      </c>
    </row>
    <row r="3" spans="4:38">
      <c r="D3" s="4"/>
    </row>
    <row r="4" spans="4:38">
      <c r="J4" s="117"/>
      <c r="K4" s="117"/>
      <c r="U4" s="57"/>
    </row>
    <row r="5" spans="4:38">
      <c r="U5" s="219"/>
      <c r="V5" s="219"/>
    </row>
    <row r="8" spans="4:38">
      <c r="E8" s="294" t="s">
        <v>295</v>
      </c>
      <c r="F8" s="294"/>
      <c r="G8" s="294"/>
      <c r="H8" s="294"/>
      <c r="I8" s="294"/>
      <c r="J8" s="294"/>
      <c r="K8" s="294"/>
      <c r="L8" s="294"/>
      <c r="M8" s="218"/>
      <c r="N8" s="129"/>
      <c r="O8" s="129"/>
      <c r="P8" s="269"/>
      <c r="Q8" s="269"/>
      <c r="S8" s="294" t="s">
        <v>296</v>
      </c>
      <c r="T8" s="294"/>
      <c r="U8" s="294"/>
      <c r="V8" s="294"/>
      <c r="W8" s="294"/>
      <c r="X8" s="294"/>
      <c r="Y8" s="294"/>
      <c r="Z8" s="129"/>
      <c r="AA8" s="129"/>
      <c r="AB8" s="129"/>
    </row>
    <row r="9" spans="4:38" ht="31.5" thickBot="1">
      <c r="D9" s="128" t="s">
        <v>297</v>
      </c>
      <c r="E9" s="24" t="s">
        <v>337</v>
      </c>
      <c r="F9" s="24" t="s">
        <v>338</v>
      </c>
      <c r="G9" s="24" t="s">
        <v>339</v>
      </c>
      <c r="H9" s="24" t="s">
        <v>340</v>
      </c>
      <c r="I9" s="24" t="s">
        <v>382</v>
      </c>
      <c r="J9" s="24" t="s">
        <v>383</v>
      </c>
      <c r="K9" s="24" t="s">
        <v>384</v>
      </c>
      <c r="L9" s="24" t="s">
        <v>385</v>
      </c>
      <c r="M9" s="24" t="s">
        <v>386</v>
      </c>
      <c r="N9" s="25" t="s">
        <v>387</v>
      </c>
      <c r="O9" s="25" t="s">
        <v>82</v>
      </c>
      <c r="P9" s="25" t="s">
        <v>83</v>
      </c>
      <c r="Q9" s="25" t="s">
        <v>447</v>
      </c>
      <c r="S9" s="25" t="s">
        <v>142</v>
      </c>
      <c r="T9" s="25" t="s">
        <v>143</v>
      </c>
      <c r="U9" s="24" t="s">
        <v>388</v>
      </c>
      <c r="V9" s="24" t="s">
        <v>389</v>
      </c>
      <c r="W9" s="25" t="s">
        <v>171</v>
      </c>
      <c r="X9" s="25" t="s">
        <v>172</v>
      </c>
      <c r="Y9" s="24" t="s">
        <v>173</v>
      </c>
      <c r="Z9" s="25" t="s">
        <v>174</v>
      </c>
      <c r="AA9" s="25" t="s">
        <v>150</v>
      </c>
      <c r="AB9" s="25" t="s">
        <v>151</v>
      </c>
      <c r="AC9" s="25" t="s">
        <v>152</v>
      </c>
      <c r="AD9" s="25" t="s">
        <v>153</v>
      </c>
      <c r="AE9" s="25" t="s">
        <v>154</v>
      </c>
      <c r="AF9" s="25" t="s">
        <v>155</v>
      </c>
      <c r="AG9" s="25" t="s">
        <v>156</v>
      </c>
      <c r="AH9" s="25" t="s">
        <v>157</v>
      </c>
      <c r="AI9" s="25" t="s">
        <v>158</v>
      </c>
      <c r="AJ9" s="25" t="s">
        <v>159</v>
      </c>
      <c r="AK9" s="25" t="s">
        <v>160</v>
      </c>
      <c r="AL9" s="25" t="s">
        <v>449</v>
      </c>
    </row>
    <row r="10" spans="4:38">
      <c r="D10" s="8" t="s">
        <v>390</v>
      </c>
      <c r="E10" s="109"/>
      <c r="F10" s="109"/>
      <c r="G10" s="109"/>
      <c r="H10" s="109"/>
      <c r="I10" s="130"/>
      <c r="J10" s="131"/>
      <c r="K10" s="125"/>
      <c r="L10" s="125"/>
      <c r="M10" s="125"/>
      <c r="N10" s="126"/>
      <c r="O10" s="126"/>
      <c r="P10" s="226"/>
      <c r="Q10" s="226"/>
      <c r="S10" s="125"/>
      <c r="T10" s="125"/>
      <c r="U10" s="125"/>
      <c r="V10" s="125"/>
      <c r="W10" s="126"/>
      <c r="X10" s="126"/>
      <c r="Y10" s="102"/>
      <c r="Z10" s="126"/>
      <c r="AA10" s="126"/>
      <c r="AB10" s="126"/>
    </row>
    <row r="11" spans="4:38">
      <c r="D11" s="4" t="s">
        <v>391</v>
      </c>
      <c r="E11" s="6">
        <v>18</v>
      </c>
      <c r="F11" s="6">
        <v>1919</v>
      </c>
      <c r="G11" s="6">
        <v>2128</v>
      </c>
      <c r="H11" s="6">
        <v>6619.6756828184489</v>
      </c>
      <c r="I11" s="6">
        <v>11014</v>
      </c>
      <c r="J11" s="6">
        <v>14061</v>
      </c>
      <c r="K11" s="6">
        <v>14185</v>
      </c>
      <c r="L11" s="6">
        <v>14303</v>
      </c>
      <c r="M11" s="6">
        <v>8036</v>
      </c>
      <c r="N11" s="98">
        <v>20275</v>
      </c>
      <c r="O11" s="98">
        <v>22332</v>
      </c>
      <c r="P11" s="98">
        <v>19939</v>
      </c>
      <c r="Q11" s="98">
        <v>22318</v>
      </c>
      <c r="R11" s="1"/>
      <c r="S11" s="6">
        <v>639</v>
      </c>
      <c r="T11" s="6">
        <v>-1628</v>
      </c>
      <c r="U11" s="6">
        <v>4181</v>
      </c>
      <c r="V11" s="6">
        <v>4844</v>
      </c>
      <c r="W11" s="6">
        <v>8423</v>
      </c>
      <c r="X11" s="6">
        <v>4815</v>
      </c>
      <c r="Y11" s="98">
        <v>3329</v>
      </c>
      <c r="Z11" s="98">
        <v>3708</v>
      </c>
      <c r="AA11" s="98">
        <v>6038</v>
      </c>
      <c r="AB11" s="98">
        <v>10801</v>
      </c>
      <c r="AC11" s="98">
        <v>2050</v>
      </c>
      <c r="AD11" s="98">
        <v>3443</v>
      </c>
      <c r="AE11" s="98">
        <v>5100</v>
      </c>
      <c r="AF11" s="98">
        <v>4993</v>
      </c>
      <c r="AG11" s="98">
        <v>4458</v>
      </c>
      <c r="AH11" s="98">
        <v>5388</v>
      </c>
      <c r="AI11" s="98">
        <v>4706</v>
      </c>
      <c r="AJ11" s="98">
        <v>7969</v>
      </c>
      <c r="AK11" s="98">
        <v>5790</v>
      </c>
      <c r="AL11" s="98">
        <v>3853</v>
      </c>
    </row>
    <row r="12" spans="4:38">
      <c r="D12" s="4" t="s">
        <v>392</v>
      </c>
      <c r="E12" s="6">
        <v>8016</v>
      </c>
      <c r="F12" s="6">
        <v>7138</v>
      </c>
      <c r="G12" s="6">
        <v>7363</v>
      </c>
      <c r="H12" s="6">
        <v>9399</v>
      </c>
      <c r="I12" s="6">
        <v>10527</v>
      </c>
      <c r="J12" s="6">
        <v>12098</v>
      </c>
      <c r="K12" s="6">
        <v>13213</v>
      </c>
      <c r="L12" s="6">
        <v>15548</v>
      </c>
      <c r="M12" s="6">
        <f>14449+93</f>
        <v>14542</v>
      </c>
      <c r="N12" s="98">
        <v>15005</v>
      </c>
      <c r="O12" s="98">
        <v>16091</v>
      </c>
      <c r="P12" s="98">
        <v>17449</v>
      </c>
      <c r="Q12" s="98">
        <v>22730</v>
      </c>
      <c r="R12" s="1"/>
      <c r="S12" s="6">
        <v>3853</v>
      </c>
      <c r="T12" s="6">
        <v>3955</v>
      </c>
      <c r="U12" s="6">
        <v>3649</v>
      </c>
      <c r="V12" s="6">
        <v>3085</v>
      </c>
      <c r="W12" s="6">
        <v>4134</v>
      </c>
      <c r="X12" s="6">
        <v>3546</v>
      </c>
      <c r="Y12" s="98">
        <v>3608</v>
      </c>
      <c r="Z12" s="98">
        <v>3717</v>
      </c>
      <c r="AA12" s="98">
        <v>3985</v>
      </c>
      <c r="AB12" s="98">
        <v>4020</v>
      </c>
      <c r="AC12" s="98">
        <v>4005</v>
      </c>
      <c r="AD12" s="98">
        <v>4081</v>
      </c>
      <c r="AE12" s="98">
        <v>4129</v>
      </c>
      <c r="AF12" s="98">
        <v>4205</v>
      </c>
      <c r="AG12" s="98">
        <v>4193</v>
      </c>
      <c r="AH12" s="98">
        <v>4922</v>
      </c>
      <c r="AI12" s="98">
        <v>5418</v>
      </c>
      <c r="AJ12" s="98">
        <v>5975</v>
      </c>
      <c r="AK12" s="98">
        <v>4579</v>
      </c>
      <c r="AL12" s="98">
        <v>6758</v>
      </c>
    </row>
    <row r="13" spans="4:38">
      <c r="D13" s="4" t="s">
        <v>393</v>
      </c>
      <c r="E13" s="119" t="s">
        <v>124</v>
      </c>
      <c r="F13" s="119" t="s">
        <v>124</v>
      </c>
      <c r="G13" s="119" t="s">
        <v>124</v>
      </c>
      <c r="H13" s="119" t="s">
        <v>124</v>
      </c>
      <c r="I13" s="119" t="s">
        <v>124</v>
      </c>
      <c r="J13" s="97" t="s">
        <v>124</v>
      </c>
      <c r="K13" s="97" t="s">
        <v>124</v>
      </c>
      <c r="L13" s="97" t="s">
        <v>124</v>
      </c>
      <c r="M13" s="6">
        <v>333</v>
      </c>
      <c r="N13" s="98">
        <v>1991</v>
      </c>
      <c r="O13" s="98">
        <v>72</v>
      </c>
      <c r="P13" s="98">
        <v>88</v>
      </c>
      <c r="Q13" s="98">
        <v>213</v>
      </c>
      <c r="R13" s="1"/>
      <c r="S13" s="97" t="s">
        <v>124</v>
      </c>
      <c r="T13" s="6">
        <v>7</v>
      </c>
      <c r="U13" s="6">
        <v>326</v>
      </c>
      <c r="V13" s="119" t="s">
        <v>124</v>
      </c>
      <c r="W13" s="98">
        <v>1175</v>
      </c>
      <c r="X13" s="98">
        <v>112</v>
      </c>
      <c r="Y13" s="98">
        <v>704</v>
      </c>
      <c r="Z13" s="97" t="s">
        <v>124</v>
      </c>
      <c r="AA13" s="98" t="s">
        <v>124</v>
      </c>
      <c r="AB13" s="98">
        <v>72</v>
      </c>
      <c r="AC13" s="98" t="s">
        <v>124</v>
      </c>
      <c r="AD13" s="98" t="s">
        <v>124</v>
      </c>
      <c r="AE13" s="98">
        <v>4</v>
      </c>
      <c r="AF13" s="98">
        <v>84</v>
      </c>
      <c r="AG13" s="98" t="s">
        <v>124</v>
      </c>
      <c r="AH13" s="98" t="s">
        <v>124</v>
      </c>
      <c r="AI13" s="98">
        <v>3</v>
      </c>
      <c r="AJ13" s="98">
        <v>110</v>
      </c>
      <c r="AK13" s="98">
        <v>100</v>
      </c>
      <c r="AL13" s="98" t="s">
        <v>124</v>
      </c>
    </row>
    <row r="14" spans="4:38">
      <c r="D14" s="4" t="s">
        <v>394</v>
      </c>
      <c r="E14" s="6">
        <v>120</v>
      </c>
      <c r="F14" s="6">
        <v>87</v>
      </c>
      <c r="G14" s="6">
        <v>149</v>
      </c>
      <c r="H14" s="6">
        <v>141.34899580502719</v>
      </c>
      <c r="I14" s="6">
        <v>218</v>
      </c>
      <c r="J14" s="6">
        <v>303</v>
      </c>
      <c r="K14" s="6">
        <v>408</v>
      </c>
      <c r="L14" s="6">
        <v>572</v>
      </c>
      <c r="M14" s="6">
        <v>550</v>
      </c>
      <c r="N14" s="98">
        <v>602</v>
      </c>
      <c r="O14" s="98">
        <v>1065</v>
      </c>
      <c r="P14" s="98">
        <v>2495</v>
      </c>
      <c r="Q14" s="98">
        <v>2190</v>
      </c>
      <c r="R14" s="1"/>
      <c r="S14" s="6">
        <v>157</v>
      </c>
      <c r="T14" s="6">
        <v>92</v>
      </c>
      <c r="U14" s="6">
        <v>111</v>
      </c>
      <c r="V14" s="6">
        <v>190</v>
      </c>
      <c r="W14" s="6">
        <v>1364</v>
      </c>
      <c r="X14" s="6">
        <v>-1023</v>
      </c>
      <c r="Y14" s="98">
        <v>98</v>
      </c>
      <c r="Z14" s="132">
        <v>163</v>
      </c>
      <c r="AA14" s="132">
        <v>165</v>
      </c>
      <c r="AB14" s="132">
        <v>281</v>
      </c>
      <c r="AC14" s="132">
        <v>362</v>
      </c>
      <c r="AD14" s="132">
        <v>257</v>
      </c>
      <c r="AE14" s="132">
        <v>499</v>
      </c>
      <c r="AF14" s="132">
        <v>598</v>
      </c>
      <c r="AG14" s="132">
        <v>658</v>
      </c>
      <c r="AH14" s="132">
        <v>740</v>
      </c>
      <c r="AI14" s="132">
        <v>681</v>
      </c>
      <c r="AJ14" s="132">
        <v>590</v>
      </c>
      <c r="AK14" s="132">
        <v>479</v>
      </c>
      <c r="AL14" s="132">
        <v>440</v>
      </c>
    </row>
    <row r="15" spans="4:38">
      <c r="D15" s="4" t="s">
        <v>395</v>
      </c>
      <c r="E15" s="6">
        <v>-423</v>
      </c>
      <c r="F15" s="6">
        <v>-433</v>
      </c>
      <c r="G15" s="6">
        <v>-875</v>
      </c>
      <c r="H15" s="6">
        <v>-1021.6321639792525</v>
      </c>
      <c r="I15" s="6">
        <v>-953</v>
      </c>
      <c r="J15" s="6">
        <v>-1016</v>
      </c>
      <c r="K15" s="6">
        <v>-818</v>
      </c>
      <c r="L15" s="6">
        <v>-854</v>
      </c>
      <c r="M15" s="6">
        <v>-1268</v>
      </c>
      <c r="N15" s="98">
        <v>-1139</v>
      </c>
      <c r="O15" s="98">
        <v>-1351</v>
      </c>
      <c r="P15" s="98">
        <v>-1710</v>
      </c>
      <c r="Q15" s="98">
        <v>-1623</v>
      </c>
      <c r="R15" s="1"/>
      <c r="S15" s="6">
        <v>-239</v>
      </c>
      <c r="T15" s="6">
        <v>-418</v>
      </c>
      <c r="U15" s="6">
        <v>-133</v>
      </c>
      <c r="V15" s="6">
        <v>-478</v>
      </c>
      <c r="W15" s="6">
        <v>-1517</v>
      </c>
      <c r="X15" s="6">
        <v>809</v>
      </c>
      <c r="Y15" s="98">
        <v>-134</v>
      </c>
      <c r="Z15" s="132">
        <v>-297</v>
      </c>
      <c r="AA15" s="132">
        <v>-239</v>
      </c>
      <c r="AB15" s="132">
        <v>-455</v>
      </c>
      <c r="AC15" s="132">
        <v>-288</v>
      </c>
      <c r="AD15" s="98">
        <v>-369</v>
      </c>
      <c r="AE15" s="98">
        <v>-276</v>
      </c>
      <c r="AF15" s="98">
        <v>-513</v>
      </c>
      <c r="AG15" s="98">
        <v>-253</v>
      </c>
      <c r="AH15" s="98">
        <v>-668</v>
      </c>
      <c r="AI15" s="98">
        <v>-715</v>
      </c>
      <c r="AJ15" s="98">
        <v>-498</v>
      </c>
      <c r="AK15" s="98">
        <v>-156</v>
      </c>
      <c r="AL15" s="98">
        <v>-254</v>
      </c>
    </row>
    <row r="16" spans="4:38">
      <c r="D16" s="4" t="s">
        <v>396</v>
      </c>
      <c r="E16" s="6">
        <v>-85</v>
      </c>
      <c r="F16" s="6">
        <v>-80</v>
      </c>
      <c r="G16" s="6">
        <v>-40</v>
      </c>
      <c r="H16" s="6">
        <v>-176</v>
      </c>
      <c r="I16" s="6">
        <v>-418</v>
      </c>
      <c r="J16" s="6">
        <v>-383</v>
      </c>
      <c r="K16" s="6">
        <v>-203</v>
      </c>
      <c r="L16" s="6">
        <v>-607</v>
      </c>
      <c r="M16" s="6">
        <v>-437</v>
      </c>
      <c r="N16" s="98">
        <v>-815</v>
      </c>
      <c r="O16" s="98">
        <v>206</v>
      </c>
      <c r="P16" s="98">
        <v>178</v>
      </c>
      <c r="Q16" s="98">
        <v>-836</v>
      </c>
      <c r="R16" s="1"/>
      <c r="S16" s="6">
        <v>16</v>
      </c>
      <c r="T16" s="6">
        <v>-317</v>
      </c>
      <c r="U16" s="6">
        <v>-44</v>
      </c>
      <c r="V16" s="6">
        <v>-92</v>
      </c>
      <c r="W16" s="6">
        <v>-101</v>
      </c>
      <c r="X16" s="6">
        <v>-566</v>
      </c>
      <c r="Y16" s="98">
        <v>-7</v>
      </c>
      <c r="Z16" s="132">
        <v>-141</v>
      </c>
      <c r="AA16" s="132">
        <v>101</v>
      </c>
      <c r="AB16" s="132">
        <v>23</v>
      </c>
      <c r="AC16" s="132">
        <v>18</v>
      </c>
      <c r="AD16" s="98">
        <v>64</v>
      </c>
      <c r="AE16" s="98">
        <v>154</v>
      </c>
      <c r="AF16" s="98">
        <v>-85</v>
      </c>
      <c r="AG16" s="98">
        <v>-29</v>
      </c>
      <c r="AH16" s="98">
        <v>138</v>
      </c>
      <c r="AI16" s="98">
        <v>-694</v>
      </c>
      <c r="AJ16" s="98">
        <v>-43</v>
      </c>
      <c r="AK16" s="98">
        <v>9</v>
      </c>
      <c r="AL16" s="98">
        <v>-108</v>
      </c>
    </row>
    <row r="17" spans="4:38">
      <c r="D17" s="4" t="s">
        <v>397</v>
      </c>
      <c r="E17" s="6">
        <v>-928</v>
      </c>
      <c r="F17" s="6">
        <v>-573</v>
      </c>
      <c r="G17" s="6">
        <v>-1293</v>
      </c>
      <c r="H17" s="6">
        <v>-1645</v>
      </c>
      <c r="I17" s="6">
        <v>-1705</v>
      </c>
      <c r="J17" s="6">
        <v>-3471</v>
      </c>
      <c r="K17" s="6">
        <v>-4132</v>
      </c>
      <c r="L17" s="6">
        <v>-4089</v>
      </c>
      <c r="M17" s="6">
        <v>-2856</v>
      </c>
      <c r="N17" s="98">
        <v>-3673</v>
      </c>
      <c r="O17" s="98">
        <v>-4223</v>
      </c>
      <c r="P17" s="98">
        <v>-4486</v>
      </c>
      <c r="Q17" s="98">
        <v>-4448</v>
      </c>
      <c r="R17" s="1"/>
      <c r="S17" s="6">
        <v>-907</v>
      </c>
      <c r="T17" s="6">
        <v>-804</v>
      </c>
      <c r="U17" s="6">
        <v>-770</v>
      </c>
      <c r="V17" s="6">
        <v>-375</v>
      </c>
      <c r="W17" s="6">
        <v>-959</v>
      </c>
      <c r="X17" s="6">
        <v>-1454</v>
      </c>
      <c r="Y17" s="98">
        <v>-978</v>
      </c>
      <c r="Z17" s="132">
        <v>-282</v>
      </c>
      <c r="AA17" s="132">
        <v>-1360</v>
      </c>
      <c r="AB17" s="132">
        <v>-706</v>
      </c>
      <c r="AC17" s="98">
        <v>-1273</v>
      </c>
      <c r="AD17" s="98">
        <v>-884</v>
      </c>
      <c r="AE17" s="98">
        <v>-1243</v>
      </c>
      <c r="AF17" s="98">
        <v>-1884</v>
      </c>
      <c r="AG17" s="98">
        <v>-951</v>
      </c>
      <c r="AH17" s="98">
        <v>-408</v>
      </c>
      <c r="AI17" s="98">
        <v>-869</v>
      </c>
      <c r="AJ17" s="98">
        <v>-1638</v>
      </c>
      <c r="AK17" s="98">
        <v>-1259</v>
      </c>
      <c r="AL17" s="98">
        <v>-682</v>
      </c>
    </row>
    <row r="18" spans="4:38">
      <c r="D18" s="4" t="s">
        <v>398</v>
      </c>
      <c r="E18" s="6">
        <v>-362</v>
      </c>
      <c r="F18" s="6">
        <v>-281</v>
      </c>
      <c r="G18" s="6">
        <v>-552</v>
      </c>
      <c r="H18" s="6">
        <v>123</v>
      </c>
      <c r="I18" s="6">
        <v>987</v>
      </c>
      <c r="J18" s="6">
        <v>587</v>
      </c>
      <c r="K18" s="6">
        <v>68</v>
      </c>
      <c r="L18" s="6">
        <v>-2415</v>
      </c>
      <c r="M18" s="6">
        <v>3989</v>
      </c>
      <c r="N18" s="6">
        <v>-750</v>
      </c>
      <c r="O18" s="6">
        <v>-7135</v>
      </c>
      <c r="P18" s="6">
        <v>6087</v>
      </c>
      <c r="Q18" s="6">
        <v>2754</v>
      </c>
      <c r="R18" s="1"/>
      <c r="S18" s="6">
        <v>1410</v>
      </c>
      <c r="T18" s="6">
        <v>1833</v>
      </c>
      <c r="U18" s="6">
        <v>-481</v>
      </c>
      <c r="V18" s="6">
        <v>1227</v>
      </c>
      <c r="W18" s="6">
        <v>-3670</v>
      </c>
      <c r="X18" s="6">
        <v>3200</v>
      </c>
      <c r="Y18" s="98">
        <v>-31</v>
      </c>
      <c r="Z18" s="6">
        <v>-249</v>
      </c>
      <c r="AA18" s="6">
        <v>-1096</v>
      </c>
      <c r="AB18" s="6">
        <v>-5897</v>
      </c>
      <c r="AC18" s="6">
        <v>57</v>
      </c>
      <c r="AD18" s="98">
        <v>-231</v>
      </c>
      <c r="AE18" s="98">
        <v>332</v>
      </c>
      <c r="AF18" s="98">
        <v>3528</v>
      </c>
      <c r="AG18" s="98">
        <v>1039</v>
      </c>
      <c r="AH18" s="98">
        <v>1188</v>
      </c>
      <c r="AI18" s="98">
        <v>2674</v>
      </c>
      <c r="AJ18" s="98">
        <v>788</v>
      </c>
      <c r="AK18" s="98">
        <v>-3233</v>
      </c>
      <c r="AL18" s="98">
        <v>2525</v>
      </c>
    </row>
    <row r="19" spans="4:38">
      <c r="D19" s="120"/>
      <c r="E19" s="115">
        <v>6356</v>
      </c>
      <c r="F19" s="115">
        <v>7777</v>
      </c>
      <c r="G19" s="115">
        <v>6880</v>
      </c>
      <c r="H19" s="115">
        <v>13440.392514644222</v>
      </c>
      <c r="I19" s="115">
        <v>19670</v>
      </c>
      <c r="J19" s="115">
        <v>22179</v>
      </c>
      <c r="K19" s="115">
        <v>22721</v>
      </c>
      <c r="L19" s="115">
        <v>22458</v>
      </c>
      <c r="M19" s="115">
        <f>SUM(M11:M18)</f>
        <v>22889</v>
      </c>
      <c r="N19" s="115">
        <v>31496</v>
      </c>
      <c r="O19" s="115">
        <f>SUM(O11:O18)</f>
        <v>27057</v>
      </c>
      <c r="P19" s="115">
        <v>40040</v>
      </c>
      <c r="Q19" s="115">
        <v>43298</v>
      </c>
      <c r="R19" s="1"/>
      <c r="S19" s="115">
        <v>4929</v>
      </c>
      <c r="T19" s="115">
        <v>2720</v>
      </c>
      <c r="U19" s="115">
        <v>6839</v>
      </c>
      <c r="V19" s="115">
        <v>8401</v>
      </c>
      <c r="W19" s="115">
        <v>8849</v>
      </c>
      <c r="X19" s="115">
        <v>9439</v>
      </c>
      <c r="Y19" s="133">
        <v>6589</v>
      </c>
      <c r="Z19" s="133">
        <v>6619</v>
      </c>
      <c r="AA19" s="133">
        <v>7594</v>
      </c>
      <c r="AB19" s="133">
        <v>8139</v>
      </c>
      <c r="AC19" s="133">
        <v>4931</v>
      </c>
      <c r="AD19" s="133">
        <v>6361</v>
      </c>
      <c r="AE19" s="133">
        <f>SUM(AE11:AE18)</f>
        <v>8699</v>
      </c>
      <c r="AF19" s="133">
        <v>10926</v>
      </c>
      <c r="AG19" s="133">
        <v>9115</v>
      </c>
      <c r="AH19" s="133">
        <v>11300</v>
      </c>
      <c r="AI19" s="133">
        <v>11204</v>
      </c>
      <c r="AJ19" s="133">
        <v>13253</v>
      </c>
      <c r="AK19" s="133">
        <v>6309</v>
      </c>
      <c r="AL19" s="133">
        <v>12532</v>
      </c>
    </row>
    <row r="20" spans="4:38">
      <c r="D20" s="4"/>
      <c r="E20" s="6"/>
      <c r="F20" s="6"/>
      <c r="G20" s="6"/>
      <c r="H20" s="6"/>
      <c r="I20" s="6"/>
      <c r="J20" s="6"/>
      <c r="K20" s="117"/>
      <c r="L20" s="117"/>
      <c r="N20" s="132"/>
      <c r="O20" s="223"/>
      <c r="P20" s="223"/>
      <c r="Q20" s="223"/>
      <c r="R20" s="1"/>
      <c r="S20" s="6"/>
      <c r="T20" s="6"/>
      <c r="U20" s="10"/>
      <c r="V20" s="6"/>
      <c r="W20" s="132"/>
      <c r="X20" s="132"/>
      <c r="Y20" s="98"/>
      <c r="Z20" s="132"/>
      <c r="AA20" s="132"/>
      <c r="AB20" s="132"/>
      <c r="AE20" s="161"/>
      <c r="AI20" s="4"/>
      <c r="AJ20" s="4"/>
    </row>
    <row r="21" spans="4:38">
      <c r="D21" s="134" t="s">
        <v>399</v>
      </c>
      <c r="E21" s="6"/>
      <c r="F21" s="6"/>
      <c r="G21" s="6"/>
      <c r="H21" s="6"/>
      <c r="I21" s="6"/>
      <c r="J21" s="6"/>
      <c r="K21" s="117"/>
      <c r="L21" s="117"/>
      <c r="M21" s="217"/>
      <c r="N21" s="135"/>
      <c r="O21" s="224"/>
      <c r="P21" s="224"/>
      <c r="Q21" s="224"/>
      <c r="R21" s="1"/>
      <c r="S21" s="136"/>
      <c r="T21" s="136"/>
      <c r="U21" s="217"/>
      <c r="V21" s="136"/>
      <c r="W21" s="99"/>
      <c r="X21" s="99"/>
      <c r="Y21" s="99"/>
      <c r="Z21" s="99"/>
      <c r="AA21" s="99"/>
      <c r="AB21" s="99"/>
      <c r="AE21" s="161"/>
      <c r="AI21" s="4"/>
      <c r="AJ21" s="4"/>
    </row>
    <row r="22" spans="4:38">
      <c r="D22" s="4" t="s">
        <v>400</v>
      </c>
      <c r="E22" s="6">
        <v>1407</v>
      </c>
      <c r="F22" s="6">
        <v>-349</v>
      </c>
      <c r="G22" s="6">
        <v>-2272</v>
      </c>
      <c r="H22" s="6">
        <v>-3056.4741559888971</v>
      </c>
      <c r="I22" s="6">
        <v>-1013</v>
      </c>
      <c r="J22" s="6">
        <v>-10536</v>
      </c>
      <c r="K22" s="6">
        <v>-3706</v>
      </c>
      <c r="L22" s="6">
        <v>-3066</v>
      </c>
      <c r="M22" s="6">
        <v>-454</v>
      </c>
      <c r="N22" s="98">
        <v>3643</v>
      </c>
      <c r="O22" s="98">
        <v>-7348</v>
      </c>
      <c r="P22" s="98">
        <v>-11341</v>
      </c>
      <c r="Q22" s="98">
        <v>-2757</v>
      </c>
      <c r="R22" s="1"/>
      <c r="S22" s="6">
        <v>-7713</v>
      </c>
      <c r="T22" s="6">
        <v>3691</v>
      </c>
      <c r="U22" s="6">
        <v>179</v>
      </c>
      <c r="V22" s="6">
        <v>3389</v>
      </c>
      <c r="W22" s="6">
        <v>-4691</v>
      </c>
      <c r="X22" s="6">
        <v>1666</v>
      </c>
      <c r="Y22" s="6">
        <v>4779</v>
      </c>
      <c r="Z22" s="98">
        <v>1889</v>
      </c>
      <c r="AA22" s="98">
        <v>-3981</v>
      </c>
      <c r="AB22" s="98">
        <v>-559</v>
      </c>
      <c r="AC22" s="1">
        <v>-3995</v>
      </c>
      <c r="AD22" s="98">
        <v>1119</v>
      </c>
      <c r="AE22" s="98">
        <v>-3932</v>
      </c>
      <c r="AF22" s="98">
        <v>-3565</v>
      </c>
      <c r="AG22" s="98">
        <v>-4549</v>
      </c>
      <c r="AH22" s="98">
        <v>705</v>
      </c>
      <c r="AI22" s="98">
        <v>-13664</v>
      </c>
      <c r="AJ22" s="98">
        <v>-10421</v>
      </c>
      <c r="AK22" s="98">
        <v>2903</v>
      </c>
      <c r="AL22" s="98">
        <v>18425</v>
      </c>
    </row>
    <row r="23" spans="4:38">
      <c r="D23" s="4" t="s">
        <v>401</v>
      </c>
      <c r="E23" s="6">
        <v>-928</v>
      </c>
      <c r="F23" s="6">
        <v>-883</v>
      </c>
      <c r="G23" s="6">
        <v>-2720</v>
      </c>
      <c r="H23" s="6">
        <v>-993.81011071659509</v>
      </c>
      <c r="I23" s="6">
        <v>730</v>
      </c>
      <c r="J23" s="6">
        <v>-2069</v>
      </c>
      <c r="K23" s="6">
        <v>-2627</v>
      </c>
      <c r="L23" s="6">
        <v>694</v>
      </c>
      <c r="M23" s="6">
        <v>-2137</v>
      </c>
      <c r="N23" s="98">
        <v>2845</v>
      </c>
      <c r="O23" s="98">
        <v>-776</v>
      </c>
      <c r="P23" s="98">
        <v>4750</v>
      </c>
      <c r="Q23" s="98">
        <v>-1386</v>
      </c>
      <c r="R23" s="1"/>
      <c r="S23" s="6">
        <v>513</v>
      </c>
      <c r="T23" s="6">
        <v>-1720</v>
      </c>
      <c r="U23" s="6">
        <v>588</v>
      </c>
      <c r="V23" s="6">
        <v>-1518</v>
      </c>
      <c r="W23" s="6">
        <v>-1273</v>
      </c>
      <c r="X23" s="6">
        <v>153</v>
      </c>
      <c r="Y23" s="6">
        <v>2636</v>
      </c>
      <c r="Z23" s="98">
        <v>1329</v>
      </c>
      <c r="AA23" s="98">
        <v>-5</v>
      </c>
      <c r="AB23" s="98">
        <v>5050</v>
      </c>
      <c r="AC23" s="1">
        <v>-1170</v>
      </c>
      <c r="AD23" s="98">
        <v>-4651</v>
      </c>
      <c r="AE23" s="98">
        <v>4178</v>
      </c>
      <c r="AF23" s="98">
        <v>-4291</v>
      </c>
      <c r="AG23" s="98">
        <v>4315</v>
      </c>
      <c r="AH23" s="98">
        <v>548</v>
      </c>
      <c r="AI23" s="98">
        <v>-6670</v>
      </c>
      <c r="AJ23" s="98">
        <v>1802</v>
      </c>
      <c r="AK23" s="98">
        <v>335</v>
      </c>
      <c r="AL23" s="98">
        <v>3147</v>
      </c>
    </row>
    <row r="24" spans="4:38">
      <c r="D24" s="4" t="s">
        <v>402</v>
      </c>
      <c r="E24" s="6">
        <v>-2838</v>
      </c>
      <c r="F24" s="6">
        <v>1006</v>
      </c>
      <c r="G24" s="6">
        <v>4227</v>
      </c>
      <c r="H24" s="6">
        <v>7658</v>
      </c>
      <c r="I24" s="6">
        <v>4023</v>
      </c>
      <c r="J24" s="6">
        <v>8220</v>
      </c>
      <c r="K24" s="6">
        <v>4372</v>
      </c>
      <c r="L24" s="6">
        <v>1969</v>
      </c>
      <c r="M24" s="6">
        <v>5183</v>
      </c>
      <c r="N24" s="98">
        <v>-3328</v>
      </c>
      <c r="O24" s="98">
        <v>18533</v>
      </c>
      <c r="P24" s="98">
        <v>-2918</v>
      </c>
      <c r="Q24" s="98">
        <v>-7539</v>
      </c>
      <c r="R24" s="1"/>
      <c r="S24" s="6">
        <v>-5327</v>
      </c>
      <c r="T24" s="6">
        <v>-696</v>
      </c>
      <c r="U24" s="6">
        <v>6385</v>
      </c>
      <c r="V24" s="6">
        <v>4821</v>
      </c>
      <c r="W24" s="6">
        <v>-2904</v>
      </c>
      <c r="X24" s="6">
        <v>-4666</v>
      </c>
      <c r="Y24" s="6">
        <v>-10442</v>
      </c>
      <c r="Z24" s="98">
        <v>14684</v>
      </c>
      <c r="AA24" s="98">
        <v>-4773</v>
      </c>
      <c r="AB24" s="98">
        <v>-1250</v>
      </c>
      <c r="AC24" s="1">
        <v>11012</v>
      </c>
      <c r="AD24" s="98">
        <v>13544</v>
      </c>
      <c r="AE24" s="98">
        <v>-8948</v>
      </c>
      <c r="AF24" s="98">
        <v>4476</v>
      </c>
      <c r="AG24" s="98">
        <v>-802</v>
      </c>
      <c r="AH24" s="98">
        <v>2356</v>
      </c>
      <c r="AI24" s="98">
        <v>-1667</v>
      </c>
      <c r="AJ24" s="98">
        <v>6816</v>
      </c>
      <c r="AK24" s="98">
        <v>-857</v>
      </c>
      <c r="AL24" s="98">
        <v>-11831</v>
      </c>
    </row>
    <row r="25" spans="4:38">
      <c r="D25" s="4" t="s">
        <v>403</v>
      </c>
      <c r="E25" s="6">
        <v>-1132</v>
      </c>
      <c r="F25" s="6">
        <v>-47</v>
      </c>
      <c r="G25" s="6">
        <v>-193</v>
      </c>
      <c r="H25" s="119" t="s">
        <v>124</v>
      </c>
      <c r="I25" s="119" t="s">
        <v>124</v>
      </c>
      <c r="J25" s="119" t="s">
        <v>124</v>
      </c>
      <c r="K25" s="119" t="s">
        <v>124</v>
      </c>
      <c r="L25" s="119" t="s">
        <v>124</v>
      </c>
      <c r="M25" s="119" t="s">
        <v>124</v>
      </c>
      <c r="N25" s="97" t="s">
        <v>124</v>
      </c>
      <c r="O25" s="97" t="s">
        <v>124</v>
      </c>
      <c r="P25" s="97" t="s">
        <v>124</v>
      </c>
      <c r="Q25" s="97" t="s">
        <v>124</v>
      </c>
      <c r="R25" s="1"/>
      <c r="S25" s="119" t="s">
        <v>124</v>
      </c>
      <c r="T25" s="119" t="s">
        <v>124</v>
      </c>
      <c r="U25" s="119" t="s">
        <v>124</v>
      </c>
      <c r="V25" s="119" t="s">
        <v>124</v>
      </c>
      <c r="W25" s="119" t="s">
        <v>124</v>
      </c>
      <c r="X25" s="119" t="s">
        <v>124</v>
      </c>
      <c r="Y25" s="119" t="s">
        <v>124</v>
      </c>
      <c r="Z25" s="119" t="s">
        <v>124</v>
      </c>
      <c r="AA25" s="6" t="s">
        <v>124</v>
      </c>
      <c r="AB25" s="6" t="s">
        <v>124</v>
      </c>
      <c r="AC25" s="6" t="s">
        <v>124</v>
      </c>
      <c r="AD25" s="98" t="s">
        <v>124</v>
      </c>
      <c r="AE25" s="98" t="s">
        <v>124</v>
      </c>
      <c r="AF25" s="98" t="s">
        <v>124</v>
      </c>
      <c r="AG25" s="98" t="s">
        <v>124</v>
      </c>
      <c r="AH25" s="98" t="s">
        <v>124</v>
      </c>
      <c r="AI25" s="98" t="s">
        <v>124</v>
      </c>
      <c r="AJ25" s="98" t="s">
        <v>124</v>
      </c>
      <c r="AK25" s="98" t="s">
        <v>124</v>
      </c>
      <c r="AL25" s="98" t="s">
        <v>124</v>
      </c>
    </row>
    <row r="26" spans="4:38">
      <c r="D26" s="4" t="s">
        <v>404</v>
      </c>
      <c r="E26" s="6">
        <v>-858</v>
      </c>
      <c r="F26" s="6">
        <v>767</v>
      </c>
      <c r="G26" s="6">
        <v>2507</v>
      </c>
      <c r="H26" s="6">
        <v>779</v>
      </c>
      <c r="I26" s="6">
        <v>1558</v>
      </c>
      <c r="J26" s="6">
        <v>2398</v>
      </c>
      <c r="K26" s="6">
        <v>-608</v>
      </c>
      <c r="L26" s="6">
        <v>926</v>
      </c>
      <c r="M26" s="6">
        <v>-303</v>
      </c>
      <c r="N26" s="98">
        <v>-1126</v>
      </c>
      <c r="O26" s="98">
        <v>-4640</v>
      </c>
      <c r="P26" s="98">
        <v>-1914</v>
      </c>
      <c r="Q26" s="98">
        <v>-1905</v>
      </c>
      <c r="R26" s="1"/>
      <c r="S26" s="6">
        <v>-1042</v>
      </c>
      <c r="T26" s="6">
        <v>-910</v>
      </c>
      <c r="U26" s="6">
        <v>318</v>
      </c>
      <c r="V26" s="6">
        <v>1331</v>
      </c>
      <c r="W26" s="6">
        <v>160</v>
      </c>
      <c r="X26" s="6">
        <v>-33</v>
      </c>
      <c r="Y26" s="6">
        <v>-1268</v>
      </c>
      <c r="Z26" s="98">
        <v>15</v>
      </c>
      <c r="AA26" s="98">
        <v>-1764</v>
      </c>
      <c r="AB26" s="98">
        <v>-2817</v>
      </c>
      <c r="AC26" s="1">
        <v>-907</v>
      </c>
      <c r="AD26" s="98">
        <v>848</v>
      </c>
      <c r="AE26" s="98">
        <v>711</v>
      </c>
      <c r="AF26" s="98">
        <v>-3794</v>
      </c>
      <c r="AG26" s="98">
        <v>472</v>
      </c>
      <c r="AH26" s="98">
        <v>697</v>
      </c>
      <c r="AI26" s="98">
        <v>969</v>
      </c>
      <c r="AJ26" s="98">
        <v>-3226</v>
      </c>
      <c r="AK26" s="98">
        <v>2069</v>
      </c>
      <c r="AL26" s="98">
        <v>-1717</v>
      </c>
    </row>
    <row r="27" spans="4:38">
      <c r="D27" s="4" t="s">
        <v>405</v>
      </c>
      <c r="E27" s="119" t="s">
        <v>124</v>
      </c>
      <c r="F27" s="119" t="s">
        <v>124</v>
      </c>
      <c r="G27" s="119" t="s">
        <v>124</v>
      </c>
      <c r="H27" s="6">
        <v>1837</v>
      </c>
      <c r="I27" s="6">
        <v>2034</v>
      </c>
      <c r="J27" s="6">
        <v>2054</v>
      </c>
      <c r="K27" s="6">
        <v>6093</v>
      </c>
      <c r="L27" s="6">
        <v>6503</v>
      </c>
      <c r="M27" s="6">
        <v>3872</v>
      </c>
      <c r="N27" s="98">
        <v>2239</v>
      </c>
      <c r="O27" s="98">
        <v>5941</v>
      </c>
      <c r="P27" s="98">
        <v>8707</v>
      </c>
      <c r="Q27" s="98">
        <v>8709</v>
      </c>
      <c r="R27" s="1"/>
      <c r="S27" s="6">
        <v>19</v>
      </c>
      <c r="T27" s="6">
        <v>919</v>
      </c>
      <c r="U27" s="6">
        <v>677</v>
      </c>
      <c r="V27" s="6">
        <v>2257</v>
      </c>
      <c r="W27" s="6">
        <v>-121</v>
      </c>
      <c r="X27" s="6">
        <v>-566</v>
      </c>
      <c r="Y27" s="6">
        <v>-501</v>
      </c>
      <c r="Z27" s="98">
        <v>3427</v>
      </c>
      <c r="AA27" s="98">
        <v>-1487</v>
      </c>
      <c r="AB27" s="98">
        <v>772</v>
      </c>
      <c r="AC27" s="1">
        <v>3703</v>
      </c>
      <c r="AD27" s="98">
        <v>2953</v>
      </c>
      <c r="AE27" s="98">
        <v>-172</v>
      </c>
      <c r="AF27" s="98">
        <v>4245</v>
      </c>
      <c r="AG27" s="98">
        <v>2058</v>
      </c>
      <c r="AH27" s="98">
        <v>2576</v>
      </c>
      <c r="AI27" s="98">
        <v>-1100</v>
      </c>
      <c r="AJ27" s="98">
        <v>2219</v>
      </c>
      <c r="AK27" s="98">
        <v>788</v>
      </c>
      <c r="AL27" s="98">
        <v>6802</v>
      </c>
    </row>
    <row r="28" spans="4:38">
      <c r="D28" s="4" t="s">
        <v>406</v>
      </c>
      <c r="E28" s="6">
        <v>743</v>
      </c>
      <c r="F28" s="6">
        <v>590</v>
      </c>
      <c r="G28" s="6">
        <v>410</v>
      </c>
      <c r="H28" s="6">
        <v>3476</v>
      </c>
      <c r="I28" s="6">
        <v>285</v>
      </c>
      <c r="J28" s="6">
        <v>2687</v>
      </c>
      <c r="K28" s="6">
        <v>520</v>
      </c>
      <c r="L28" s="6">
        <v>2890</v>
      </c>
      <c r="M28" s="6">
        <f>4848+992</f>
        <v>5840</v>
      </c>
      <c r="N28" s="98">
        <v>-5917</v>
      </c>
      <c r="O28" s="98">
        <v>-5168</v>
      </c>
      <c r="P28" s="98">
        <v>5543</v>
      </c>
      <c r="Q28" s="98">
        <v>8952</v>
      </c>
      <c r="R28" s="1"/>
      <c r="S28" s="6">
        <v>-1259</v>
      </c>
      <c r="T28" s="6">
        <v>2410</v>
      </c>
      <c r="U28" s="6">
        <v>1408</v>
      </c>
      <c r="V28" s="6">
        <v>3281</v>
      </c>
      <c r="W28" s="6">
        <v>-4208</v>
      </c>
      <c r="X28" s="6">
        <v>528</v>
      </c>
      <c r="Y28" s="6">
        <v>-3679</v>
      </c>
      <c r="Z28" s="98">
        <v>1442</v>
      </c>
      <c r="AA28" s="98">
        <v>177</v>
      </c>
      <c r="AB28" s="98">
        <v>-1964</v>
      </c>
      <c r="AC28" s="1">
        <v>-174</v>
      </c>
      <c r="AD28" s="98">
        <v>-3213</v>
      </c>
      <c r="AE28" s="98">
        <v>-2916</v>
      </c>
      <c r="AF28" s="98">
        <v>8986</v>
      </c>
      <c r="AG28" s="98">
        <v>-485</v>
      </c>
      <c r="AH28" s="98">
        <v>-42</v>
      </c>
      <c r="AI28" s="98">
        <v>9991</v>
      </c>
      <c r="AJ28" s="98">
        <v>2336</v>
      </c>
      <c r="AK28" s="98">
        <v>-2335</v>
      </c>
      <c r="AL28" s="98">
        <v>-1040</v>
      </c>
    </row>
    <row r="29" spans="4:38">
      <c r="D29" s="137" t="s">
        <v>407</v>
      </c>
      <c r="E29" s="138">
        <v>-3607</v>
      </c>
      <c r="F29" s="138">
        <v>1084</v>
      </c>
      <c r="G29" s="138">
        <v>1959</v>
      </c>
      <c r="H29" s="138">
        <v>9699.715733294508</v>
      </c>
      <c r="I29" s="138">
        <v>7617</v>
      </c>
      <c r="J29" s="138">
        <v>2754</v>
      </c>
      <c r="K29" s="138">
        <v>4044</v>
      </c>
      <c r="L29" s="138">
        <v>9916</v>
      </c>
      <c r="M29" s="138">
        <f>SUM(M22:M28)</f>
        <v>12001</v>
      </c>
      <c r="N29" s="139">
        <v>-1644</v>
      </c>
      <c r="O29" s="139">
        <v>6542</v>
      </c>
      <c r="P29" s="139">
        <v>2827</v>
      </c>
      <c r="Q29" s="139">
        <v>4074</v>
      </c>
      <c r="R29" s="1"/>
      <c r="S29" s="109">
        <v>-14809</v>
      </c>
      <c r="T29" s="109">
        <v>3694</v>
      </c>
      <c r="U29" s="109">
        <v>9555</v>
      </c>
      <c r="V29" s="109">
        <v>13561</v>
      </c>
      <c r="W29" s="109">
        <v>-13037</v>
      </c>
      <c r="X29" s="109">
        <v>-2918</v>
      </c>
      <c r="Y29" s="109">
        <v>-8475</v>
      </c>
      <c r="Z29" s="138">
        <v>22786</v>
      </c>
      <c r="AA29" s="138">
        <v>-11833</v>
      </c>
      <c r="AB29" s="138">
        <v>-768</v>
      </c>
      <c r="AC29" s="138">
        <v>8469</v>
      </c>
      <c r="AD29" s="138">
        <v>10600</v>
      </c>
      <c r="AE29" s="138">
        <v>-11079</v>
      </c>
      <c r="AF29" s="138">
        <v>6057</v>
      </c>
      <c r="AG29" s="138">
        <v>1009</v>
      </c>
      <c r="AH29" s="138">
        <v>6840</v>
      </c>
      <c r="AI29" s="138">
        <v>-12141</v>
      </c>
      <c r="AJ29" s="138">
        <v>-474</v>
      </c>
      <c r="AK29" s="138">
        <v>2903</v>
      </c>
      <c r="AL29" s="138">
        <v>13786</v>
      </c>
    </row>
    <row r="30" spans="4:38">
      <c r="D30" s="8" t="s">
        <v>408</v>
      </c>
      <c r="E30" s="109">
        <v>2749</v>
      </c>
      <c r="F30" s="109">
        <v>8861</v>
      </c>
      <c r="G30" s="109">
        <v>8839</v>
      </c>
      <c r="H30" s="109">
        <v>23140</v>
      </c>
      <c r="I30" s="109">
        <v>27287</v>
      </c>
      <c r="J30" s="109">
        <v>24933</v>
      </c>
      <c r="K30" s="109">
        <v>26765</v>
      </c>
      <c r="L30" s="109">
        <v>32374</v>
      </c>
      <c r="M30" s="109">
        <f>+M19+M29</f>
        <v>34890</v>
      </c>
      <c r="N30" s="102">
        <v>29852</v>
      </c>
      <c r="O30" s="102">
        <v>33599</v>
      </c>
      <c r="P30" s="102">
        <v>42867</v>
      </c>
      <c r="Q30" s="102">
        <v>47372</v>
      </c>
      <c r="R30" s="1"/>
      <c r="S30" s="115">
        <v>-9880</v>
      </c>
      <c r="T30" s="115">
        <v>6414</v>
      </c>
      <c r="U30" s="115">
        <v>16394</v>
      </c>
      <c r="V30" s="115">
        <v>21962</v>
      </c>
      <c r="W30" s="115">
        <v>-4188</v>
      </c>
      <c r="X30" s="115">
        <v>6521</v>
      </c>
      <c r="Y30" s="133">
        <v>-1886</v>
      </c>
      <c r="Z30" s="102">
        <v>29405</v>
      </c>
      <c r="AA30" s="102">
        <v>-4239</v>
      </c>
      <c r="AB30" s="102">
        <v>7371</v>
      </c>
      <c r="AC30" s="102">
        <v>13400</v>
      </c>
      <c r="AD30" s="102">
        <v>16961</v>
      </c>
      <c r="AE30" s="102">
        <v>-2380</v>
      </c>
      <c r="AF30" s="102">
        <v>16983</v>
      </c>
      <c r="AG30" s="102">
        <v>10124</v>
      </c>
      <c r="AH30" s="102">
        <v>18140</v>
      </c>
      <c r="AI30" s="102">
        <v>-937</v>
      </c>
      <c r="AJ30" s="102">
        <v>12779</v>
      </c>
      <c r="AK30" s="102">
        <v>9212</v>
      </c>
      <c r="AL30" s="102">
        <v>26318</v>
      </c>
    </row>
    <row r="31" spans="4:38">
      <c r="D31" s="4"/>
      <c r="E31" s="6"/>
      <c r="F31" s="6"/>
      <c r="G31" s="6"/>
      <c r="H31" s="6"/>
      <c r="I31" s="117"/>
      <c r="J31" s="117"/>
      <c r="K31" s="117"/>
      <c r="L31" s="117"/>
      <c r="N31" s="132"/>
      <c r="O31" s="223"/>
      <c r="P31" s="223"/>
      <c r="Q31" s="223"/>
      <c r="R31" s="1"/>
      <c r="S31" s="6"/>
      <c r="T31" s="6"/>
      <c r="U31" s="10"/>
      <c r="V31" s="6"/>
      <c r="W31" s="132"/>
      <c r="X31" s="132"/>
      <c r="Y31" s="98"/>
      <c r="Z31" s="132"/>
      <c r="AA31" s="132"/>
      <c r="AB31" s="132"/>
      <c r="AE31" s="4"/>
      <c r="AI31" s="4"/>
      <c r="AJ31" s="4"/>
    </row>
    <row r="32" spans="4:38">
      <c r="D32" s="8" t="s">
        <v>409</v>
      </c>
      <c r="E32" s="6"/>
      <c r="F32" s="6"/>
      <c r="G32" s="6"/>
      <c r="H32" s="6"/>
      <c r="I32" s="117"/>
      <c r="J32" s="117"/>
      <c r="K32" s="6"/>
      <c r="L32" s="6"/>
      <c r="M32" s="125"/>
      <c r="N32" s="126"/>
      <c r="O32" s="226"/>
      <c r="P32" s="226"/>
      <c r="Q32" s="226"/>
      <c r="R32" s="1"/>
      <c r="S32" s="140"/>
      <c r="T32" s="140"/>
      <c r="U32" s="140"/>
      <c r="V32" s="140"/>
      <c r="W32" s="140"/>
      <c r="X32" s="140"/>
      <c r="Y32" s="140"/>
      <c r="Z32" s="140"/>
      <c r="AA32" s="140"/>
      <c r="AB32" s="140"/>
      <c r="AE32" s="4"/>
      <c r="AI32" s="4"/>
      <c r="AJ32" s="4"/>
    </row>
    <row r="33" spans="4:38">
      <c r="D33" s="4" t="s">
        <v>410</v>
      </c>
      <c r="E33" s="6">
        <v>-258</v>
      </c>
      <c r="F33" s="6">
        <v>-520</v>
      </c>
      <c r="G33" s="6">
        <v>275</v>
      </c>
      <c r="H33" s="6">
        <v>-2239</v>
      </c>
      <c r="I33" s="6">
        <v>-1280</v>
      </c>
      <c r="J33" s="6">
        <v>-2081</v>
      </c>
      <c r="K33" s="6">
        <v>-1565</v>
      </c>
      <c r="L33" s="6">
        <v>-235</v>
      </c>
      <c r="M33" s="119" t="s">
        <v>124</v>
      </c>
      <c r="N33" s="97" t="s">
        <v>124</v>
      </c>
      <c r="O33" s="97" t="s">
        <v>124</v>
      </c>
      <c r="P33" s="97" t="s">
        <v>124</v>
      </c>
      <c r="Q33" s="97" t="s">
        <v>124</v>
      </c>
      <c r="R33" s="1"/>
      <c r="S33" s="119" t="s">
        <v>124</v>
      </c>
      <c r="T33" s="119" t="s">
        <v>124</v>
      </c>
      <c r="U33" s="119" t="s">
        <v>124</v>
      </c>
      <c r="V33" s="119" t="s">
        <v>124</v>
      </c>
      <c r="W33" s="119" t="s">
        <v>124</v>
      </c>
      <c r="X33" s="119" t="s">
        <v>124</v>
      </c>
      <c r="Y33" s="119" t="s">
        <v>124</v>
      </c>
      <c r="Z33" s="119" t="s">
        <v>124</v>
      </c>
      <c r="AA33" s="6" t="s">
        <v>124</v>
      </c>
      <c r="AB33" s="6" t="s">
        <v>124</v>
      </c>
      <c r="AC33" s="14" t="s">
        <v>124</v>
      </c>
      <c r="AD33" s="14" t="s">
        <v>124</v>
      </c>
      <c r="AE33" s="10" t="s">
        <v>124</v>
      </c>
      <c r="AF33" s="10" t="s">
        <v>124</v>
      </c>
      <c r="AG33" s="10" t="s">
        <v>124</v>
      </c>
      <c r="AH33" s="10" t="s">
        <v>124</v>
      </c>
      <c r="AI33" s="10" t="s">
        <v>124</v>
      </c>
      <c r="AJ33" s="10" t="s">
        <v>124</v>
      </c>
      <c r="AK33" s="10" t="s">
        <v>124</v>
      </c>
      <c r="AL33" s="10" t="s">
        <v>124</v>
      </c>
    </row>
    <row r="34" spans="4:38">
      <c r="D34" s="4" t="s">
        <v>411</v>
      </c>
      <c r="E34" s="119" t="s">
        <v>124</v>
      </c>
      <c r="F34" s="119" t="s">
        <v>124</v>
      </c>
      <c r="G34" s="119" t="s">
        <v>124</v>
      </c>
      <c r="H34" s="119" t="s">
        <v>124</v>
      </c>
      <c r="I34" s="119" t="s">
        <v>124</v>
      </c>
      <c r="J34" s="119" t="s">
        <v>124</v>
      </c>
      <c r="K34" s="119" t="s">
        <v>124</v>
      </c>
      <c r="L34" s="119" t="s">
        <v>124</v>
      </c>
      <c r="M34" s="6">
        <v>-4589</v>
      </c>
      <c r="N34" s="98">
        <v>-11518</v>
      </c>
      <c r="O34" s="98">
        <f>-7107-2490</f>
        <v>-9597</v>
      </c>
      <c r="P34" s="98">
        <v>-1151</v>
      </c>
      <c r="Q34" s="98">
        <v>-1901</v>
      </c>
      <c r="R34" s="1"/>
      <c r="S34" s="6">
        <v>-298</v>
      </c>
      <c r="T34" s="6">
        <v>-115</v>
      </c>
      <c r="U34" s="6">
        <v>-33</v>
      </c>
      <c r="V34" s="6">
        <v>-4143</v>
      </c>
      <c r="W34" s="6">
        <v>1422</v>
      </c>
      <c r="X34" s="6">
        <v>-27</v>
      </c>
      <c r="Y34" s="6">
        <v>-2348</v>
      </c>
      <c r="Z34" s="98">
        <v>-10565</v>
      </c>
      <c r="AA34" s="98">
        <v>-1160</v>
      </c>
      <c r="AB34" s="98">
        <v>-6460</v>
      </c>
      <c r="AC34" s="98">
        <v>-168</v>
      </c>
      <c r="AD34" s="98">
        <v>-1209</v>
      </c>
      <c r="AE34" s="98">
        <v>-3572</v>
      </c>
      <c r="AF34" s="98">
        <v>-13.89111127000001</v>
      </c>
      <c r="AG34" s="98">
        <v>-273</v>
      </c>
      <c r="AH34" s="98">
        <v>-331</v>
      </c>
      <c r="AI34" s="98">
        <v>-546</v>
      </c>
      <c r="AJ34" s="98">
        <v>-776</v>
      </c>
      <c r="AK34" s="98">
        <v>-1041</v>
      </c>
      <c r="AL34" s="98">
        <v>462</v>
      </c>
    </row>
    <row r="35" spans="4:38">
      <c r="D35" s="4" t="s">
        <v>412</v>
      </c>
      <c r="E35" s="119" t="s">
        <v>124</v>
      </c>
      <c r="F35" s="119" t="s">
        <v>124</v>
      </c>
      <c r="G35" s="119" t="s">
        <v>124</v>
      </c>
      <c r="H35" s="119" t="s">
        <v>124</v>
      </c>
      <c r="I35" s="119" t="s">
        <v>124</v>
      </c>
      <c r="J35" s="119" t="s">
        <v>124</v>
      </c>
      <c r="K35" s="119" t="s">
        <v>124</v>
      </c>
      <c r="L35" s="119" t="s">
        <v>124</v>
      </c>
      <c r="M35" s="6">
        <v>464</v>
      </c>
      <c r="N35" s="98">
        <v>132</v>
      </c>
      <c r="O35" s="98" t="s">
        <v>124</v>
      </c>
      <c r="P35" s="98" t="s">
        <v>124</v>
      </c>
      <c r="Q35" s="98" t="s">
        <v>124</v>
      </c>
      <c r="R35" s="1"/>
      <c r="S35" s="6">
        <v>51</v>
      </c>
      <c r="T35" s="6">
        <v>194</v>
      </c>
      <c r="U35" s="6">
        <v>104</v>
      </c>
      <c r="V35" s="6">
        <v>115</v>
      </c>
      <c r="W35" s="119" t="s">
        <v>124</v>
      </c>
      <c r="X35" s="6">
        <v>132</v>
      </c>
      <c r="Y35" s="119" t="s">
        <v>124</v>
      </c>
      <c r="Z35" s="119" t="s">
        <v>124</v>
      </c>
      <c r="AA35" s="6" t="s">
        <v>124</v>
      </c>
      <c r="AB35" s="6" t="s">
        <v>124</v>
      </c>
      <c r="AC35" s="6" t="s">
        <v>124</v>
      </c>
      <c r="AD35" s="6" t="s">
        <v>124</v>
      </c>
      <c r="AE35" s="6" t="s">
        <v>124</v>
      </c>
      <c r="AF35" s="6" t="s">
        <v>124</v>
      </c>
      <c r="AG35" s="6" t="s">
        <v>124</v>
      </c>
      <c r="AH35" s="6" t="s">
        <v>124</v>
      </c>
      <c r="AI35" s="6" t="s">
        <v>124</v>
      </c>
      <c r="AJ35" s="6" t="s">
        <v>124</v>
      </c>
      <c r="AK35" s="6" t="s">
        <v>124</v>
      </c>
      <c r="AL35" s="6" t="s">
        <v>124</v>
      </c>
    </row>
    <row r="36" spans="4:38">
      <c r="D36" s="4" t="s">
        <v>413</v>
      </c>
      <c r="E36" s="119" t="s">
        <v>124</v>
      </c>
      <c r="F36" s="119" t="s">
        <v>124</v>
      </c>
      <c r="G36" s="119" t="s">
        <v>124</v>
      </c>
      <c r="H36" s="119" t="s">
        <v>124</v>
      </c>
      <c r="I36" s="119" t="s">
        <v>124</v>
      </c>
      <c r="J36" s="119" t="s">
        <v>124</v>
      </c>
      <c r="K36" s="119" t="s">
        <v>124</v>
      </c>
      <c r="L36" s="119" t="s">
        <v>124</v>
      </c>
      <c r="M36" s="119" t="s">
        <v>124</v>
      </c>
      <c r="N36" s="119" t="s">
        <v>124</v>
      </c>
      <c r="O36" s="119">
        <v>2290</v>
      </c>
      <c r="P36" s="119">
        <v>-178</v>
      </c>
      <c r="Q36" s="119">
        <v>-217</v>
      </c>
      <c r="R36" s="1"/>
      <c r="S36" s="119" t="s">
        <v>124</v>
      </c>
      <c r="T36" s="119" t="s">
        <v>124</v>
      </c>
      <c r="U36" s="119" t="s">
        <v>124</v>
      </c>
      <c r="V36" s="119" t="s">
        <v>124</v>
      </c>
      <c r="W36" s="119" t="s">
        <v>124</v>
      </c>
      <c r="X36" s="119" t="s">
        <v>124</v>
      </c>
      <c r="Y36" s="119" t="s">
        <v>124</v>
      </c>
      <c r="Z36" s="119" t="s">
        <v>124</v>
      </c>
      <c r="AA36" s="6"/>
      <c r="AB36" s="6">
        <v>116</v>
      </c>
      <c r="AC36" s="14" t="s">
        <v>124</v>
      </c>
      <c r="AD36" s="1">
        <v>1774</v>
      </c>
      <c r="AE36" s="6" t="s">
        <v>124</v>
      </c>
      <c r="AF36" s="6" t="s">
        <v>124</v>
      </c>
      <c r="AG36" s="6">
        <v>-178</v>
      </c>
      <c r="AH36" s="6" t="s">
        <v>124</v>
      </c>
      <c r="AI36" s="6" t="s">
        <v>124</v>
      </c>
      <c r="AJ36" s="6">
        <v>-216.640332051</v>
      </c>
      <c r="AK36" s="6" t="s">
        <v>124</v>
      </c>
      <c r="AL36" s="6" t="s">
        <v>124</v>
      </c>
    </row>
    <row r="37" spans="4:38">
      <c r="D37" s="4" t="s">
        <v>414</v>
      </c>
      <c r="E37" s="119" t="s">
        <v>124</v>
      </c>
      <c r="F37" s="119" t="s">
        <v>124</v>
      </c>
      <c r="G37" s="119" t="s">
        <v>124</v>
      </c>
      <c r="H37" s="119" t="s">
        <v>124</v>
      </c>
      <c r="I37" s="119" t="s">
        <v>124</v>
      </c>
      <c r="J37" s="119" t="s">
        <v>124</v>
      </c>
      <c r="K37" s="119" t="s">
        <v>124</v>
      </c>
      <c r="L37" s="119" t="s">
        <v>124</v>
      </c>
      <c r="M37" s="119" t="s">
        <v>124</v>
      </c>
      <c r="N37" s="119" t="s">
        <v>124</v>
      </c>
      <c r="O37" s="119" t="s">
        <v>124</v>
      </c>
      <c r="P37" s="119" t="s">
        <v>124</v>
      </c>
      <c r="Q37" s="119" t="s">
        <v>124</v>
      </c>
      <c r="R37" s="1"/>
      <c r="S37" s="119" t="s">
        <v>124</v>
      </c>
      <c r="T37" s="119" t="s">
        <v>124</v>
      </c>
      <c r="U37" s="6">
        <v>-1803</v>
      </c>
      <c r="V37" s="119" t="s">
        <v>124</v>
      </c>
      <c r="W37" s="119" t="s">
        <v>124</v>
      </c>
      <c r="X37" s="119" t="s">
        <v>124</v>
      </c>
      <c r="Y37" s="119" t="s">
        <v>124</v>
      </c>
      <c r="Z37" s="119" t="s">
        <v>124</v>
      </c>
      <c r="AA37" s="6" t="s">
        <v>124</v>
      </c>
      <c r="AB37" s="6" t="s">
        <v>124</v>
      </c>
      <c r="AC37" s="1">
        <v>-3096</v>
      </c>
      <c r="AD37" s="1">
        <v>3096</v>
      </c>
      <c r="AE37" s="6" t="s">
        <v>124</v>
      </c>
      <c r="AF37" s="6" t="s">
        <v>124</v>
      </c>
      <c r="AG37" s="6" t="s">
        <v>124</v>
      </c>
      <c r="AH37" s="6" t="s">
        <v>124</v>
      </c>
      <c r="AI37" s="5">
        <v>-45</v>
      </c>
      <c r="AJ37" s="5">
        <v>-14.359667948999999</v>
      </c>
      <c r="AK37" s="6">
        <v>-17</v>
      </c>
      <c r="AL37" s="6" t="s">
        <v>124</v>
      </c>
    </row>
    <row r="38" spans="4:38">
      <c r="D38" s="4" t="s">
        <v>415</v>
      </c>
      <c r="E38" s="119" t="s">
        <v>124</v>
      </c>
      <c r="F38" s="119" t="s">
        <v>124</v>
      </c>
      <c r="G38" s="119" t="s">
        <v>124</v>
      </c>
      <c r="H38" s="119" t="s">
        <v>124</v>
      </c>
      <c r="I38" s="119" t="s">
        <v>124</v>
      </c>
      <c r="J38" s="119" t="s">
        <v>124</v>
      </c>
      <c r="K38" s="119" t="s">
        <v>124</v>
      </c>
      <c r="L38" s="119" t="s">
        <v>124</v>
      </c>
      <c r="M38" s="6">
        <v>1251</v>
      </c>
      <c r="N38" s="97" t="s">
        <v>124</v>
      </c>
      <c r="O38" s="97" t="s">
        <v>124</v>
      </c>
      <c r="P38" s="97">
        <v>-11990</v>
      </c>
      <c r="Q38" s="97">
        <v>-75</v>
      </c>
      <c r="R38" s="1"/>
      <c r="S38" s="119" t="s">
        <v>124</v>
      </c>
      <c r="T38" s="119" t="s">
        <v>124</v>
      </c>
      <c r="U38" s="119" t="s">
        <v>124</v>
      </c>
      <c r="V38" s="6">
        <v>3054</v>
      </c>
      <c r="W38" s="119" t="s">
        <v>124</v>
      </c>
      <c r="X38" s="119" t="s">
        <v>124</v>
      </c>
      <c r="Y38" s="119" t="s">
        <v>124</v>
      </c>
      <c r="Z38" s="97" t="s">
        <v>124</v>
      </c>
      <c r="AA38" s="98" t="s">
        <v>124</v>
      </c>
      <c r="AB38" s="98" t="s">
        <v>124</v>
      </c>
      <c r="AC38" s="14" t="s">
        <v>124</v>
      </c>
      <c r="AD38" s="14" t="s">
        <v>124</v>
      </c>
      <c r="AE38" s="10">
        <v>-75</v>
      </c>
      <c r="AF38" s="5">
        <v>-6047.1088887299993</v>
      </c>
      <c r="AG38" s="5">
        <v>-535</v>
      </c>
      <c r="AH38" s="5">
        <v>-2294</v>
      </c>
      <c r="AI38" s="6" t="s">
        <v>124</v>
      </c>
      <c r="AJ38" s="6" t="s">
        <v>124</v>
      </c>
      <c r="AK38" s="6" t="s">
        <v>124</v>
      </c>
      <c r="AL38" s="6">
        <v>1</v>
      </c>
    </row>
    <row r="39" spans="4:38">
      <c r="D39" s="4" t="s">
        <v>393</v>
      </c>
      <c r="E39" s="119" t="s">
        <v>124</v>
      </c>
      <c r="F39" s="119" t="s">
        <v>124</v>
      </c>
      <c r="G39" s="119" t="s">
        <v>124</v>
      </c>
      <c r="H39" s="6">
        <v>26</v>
      </c>
      <c r="I39" s="6">
        <v>5</v>
      </c>
      <c r="J39" s="6">
        <v>37</v>
      </c>
      <c r="K39" s="6">
        <v>240</v>
      </c>
      <c r="L39" s="6">
        <v>64</v>
      </c>
      <c r="M39" s="119" t="s">
        <v>124</v>
      </c>
      <c r="N39" s="97" t="s">
        <v>124</v>
      </c>
      <c r="O39" s="97" t="s">
        <v>124</v>
      </c>
      <c r="P39" s="97" t="s">
        <v>124</v>
      </c>
      <c r="Q39" s="97" t="s">
        <v>124</v>
      </c>
      <c r="R39" s="1"/>
      <c r="S39" s="119" t="s">
        <v>124</v>
      </c>
      <c r="T39" s="119" t="s">
        <v>124</v>
      </c>
      <c r="U39" s="119" t="s">
        <v>124</v>
      </c>
      <c r="V39" s="119" t="s">
        <v>124</v>
      </c>
      <c r="W39" s="119" t="s">
        <v>124</v>
      </c>
      <c r="X39" s="119" t="s">
        <v>124</v>
      </c>
      <c r="Y39" s="119" t="s">
        <v>124</v>
      </c>
      <c r="Z39" s="119" t="s">
        <v>124</v>
      </c>
      <c r="AA39" s="6" t="s">
        <v>124</v>
      </c>
      <c r="AB39" s="6" t="s">
        <v>124</v>
      </c>
      <c r="AC39" s="6" t="s">
        <v>124</v>
      </c>
      <c r="AD39" s="6" t="s">
        <v>124</v>
      </c>
      <c r="AE39" s="6" t="s">
        <v>124</v>
      </c>
      <c r="AF39" s="6" t="s">
        <v>124</v>
      </c>
      <c r="AG39" s="6" t="s">
        <v>124</v>
      </c>
      <c r="AH39" s="6" t="s">
        <v>124</v>
      </c>
      <c r="AI39" s="6" t="s">
        <v>124</v>
      </c>
      <c r="AJ39" s="6" t="s">
        <v>124</v>
      </c>
      <c r="AK39" s="6" t="s">
        <v>124</v>
      </c>
      <c r="AL39" s="6" t="s">
        <v>124</v>
      </c>
    </row>
    <row r="40" spans="4:38">
      <c r="D40" s="4" t="s">
        <v>416</v>
      </c>
      <c r="E40" s="6">
        <v>-3061</v>
      </c>
      <c r="F40" s="6">
        <v>-4188</v>
      </c>
      <c r="G40" s="6">
        <v>-5234</v>
      </c>
      <c r="H40" s="6">
        <v>-4715</v>
      </c>
      <c r="I40" s="6">
        <v>-6394</v>
      </c>
      <c r="J40" s="6">
        <v>-9651</v>
      </c>
      <c r="K40" s="6">
        <v>-7283</v>
      </c>
      <c r="L40" s="6">
        <v>-9176</v>
      </c>
      <c r="M40" s="6">
        <v>-8574</v>
      </c>
      <c r="N40" s="98">
        <v>-11972</v>
      </c>
      <c r="O40" s="98">
        <v>-18328</v>
      </c>
      <c r="P40" s="98">
        <v>-20680</v>
      </c>
      <c r="Q40" s="98">
        <v>-19774</v>
      </c>
      <c r="R40" s="1"/>
      <c r="S40" s="6">
        <v>-2383</v>
      </c>
      <c r="T40" s="6">
        <v>-1835</v>
      </c>
      <c r="U40" s="6">
        <v>-2139</v>
      </c>
      <c r="V40" s="6">
        <v>-2217</v>
      </c>
      <c r="W40" s="6">
        <v>-2496</v>
      </c>
      <c r="X40" s="6">
        <v>-2852</v>
      </c>
      <c r="Y40" s="6">
        <v>-2826</v>
      </c>
      <c r="Z40" s="98">
        <v>-3798</v>
      </c>
      <c r="AA40" s="98">
        <v>-3136</v>
      </c>
      <c r="AB40" s="98">
        <v>-4187</v>
      </c>
      <c r="AC40" s="98">
        <v>-4125</v>
      </c>
      <c r="AD40" s="98">
        <v>-6974</v>
      </c>
      <c r="AE40" s="98">
        <v>-5545</v>
      </c>
      <c r="AF40" s="98">
        <v>-5394</v>
      </c>
      <c r="AG40" s="98">
        <v>-4514</v>
      </c>
      <c r="AH40" s="98">
        <v>-5227</v>
      </c>
      <c r="AI40" s="98">
        <v>-5139</v>
      </c>
      <c r="AJ40" s="98">
        <v>-5481</v>
      </c>
      <c r="AK40" s="98">
        <v>-4075</v>
      </c>
      <c r="AL40" s="98">
        <v>-5079</v>
      </c>
    </row>
    <row r="41" spans="4:38">
      <c r="D41" s="4" t="s">
        <v>417</v>
      </c>
      <c r="E41" s="119" t="s">
        <v>124</v>
      </c>
      <c r="F41" s="6">
        <v>500</v>
      </c>
      <c r="G41" s="119" t="s">
        <v>124</v>
      </c>
      <c r="H41" s="119" t="s">
        <v>124</v>
      </c>
      <c r="I41" s="119" t="s">
        <v>124</v>
      </c>
      <c r="J41" s="119" t="s">
        <v>124</v>
      </c>
      <c r="K41" s="119" t="s">
        <v>124</v>
      </c>
      <c r="L41" s="119" t="s">
        <v>124</v>
      </c>
      <c r="M41" s="119" t="s">
        <v>124</v>
      </c>
      <c r="N41" s="119" t="s">
        <v>124</v>
      </c>
      <c r="O41" s="119" t="s">
        <v>124</v>
      </c>
      <c r="P41" s="119" t="s">
        <v>124</v>
      </c>
      <c r="Q41" s="119" t="s">
        <v>124</v>
      </c>
      <c r="R41" s="1"/>
      <c r="S41" s="119" t="s">
        <v>124</v>
      </c>
      <c r="T41" s="119" t="s">
        <v>124</v>
      </c>
      <c r="U41" s="119" t="s">
        <v>124</v>
      </c>
      <c r="V41" s="119" t="s">
        <v>124</v>
      </c>
      <c r="W41" s="119" t="s">
        <v>124</v>
      </c>
      <c r="X41" s="119" t="s">
        <v>124</v>
      </c>
      <c r="Y41" s="119" t="s">
        <v>124</v>
      </c>
      <c r="Z41" s="119" t="s">
        <v>124</v>
      </c>
      <c r="AA41" s="6" t="s">
        <v>124</v>
      </c>
      <c r="AB41" s="6" t="s">
        <v>124</v>
      </c>
      <c r="AC41" s="14" t="s">
        <v>124</v>
      </c>
      <c r="AD41" s="14" t="s">
        <v>124</v>
      </c>
      <c r="AE41" s="6" t="s">
        <v>124</v>
      </c>
      <c r="AF41" s="6" t="s">
        <v>124</v>
      </c>
      <c r="AG41" s="6" t="s">
        <v>124</v>
      </c>
      <c r="AH41" s="6" t="s">
        <v>124</v>
      </c>
      <c r="AI41" s="6" t="s">
        <v>124</v>
      </c>
      <c r="AJ41" s="6" t="s">
        <v>124</v>
      </c>
      <c r="AK41" s="6" t="s">
        <v>124</v>
      </c>
      <c r="AL41" s="6" t="s">
        <v>124</v>
      </c>
    </row>
    <row r="42" spans="4:38">
      <c r="D42" s="4" t="s">
        <v>418</v>
      </c>
      <c r="E42" s="6">
        <v>-4466</v>
      </c>
      <c r="F42" s="6">
        <v>-4714</v>
      </c>
      <c r="G42" s="6">
        <v>-8646</v>
      </c>
      <c r="H42" s="6">
        <v>-9241</v>
      </c>
      <c r="I42" s="6">
        <v>-13095</v>
      </c>
      <c r="J42" s="6">
        <v>-17037</v>
      </c>
      <c r="K42" s="6">
        <v>-13574</v>
      </c>
      <c r="L42" s="6">
        <v>-11807</v>
      </c>
      <c r="M42" s="6">
        <f>-9986-605</f>
        <v>-10591</v>
      </c>
      <c r="N42" s="6">
        <v>-11352</v>
      </c>
      <c r="O42" s="6">
        <v>-13784</v>
      </c>
      <c r="P42" s="6">
        <v>-18485</v>
      </c>
      <c r="Q42" s="6">
        <v>-25259</v>
      </c>
      <c r="R42" s="1"/>
      <c r="S42" s="6">
        <v>-2992</v>
      </c>
      <c r="T42" s="6">
        <v>-2116</v>
      </c>
      <c r="U42" s="6">
        <v>-2466</v>
      </c>
      <c r="V42" s="6">
        <v>-3017</v>
      </c>
      <c r="W42" s="6">
        <v>-1660</v>
      </c>
      <c r="X42" s="6">
        <v>-3813</v>
      </c>
      <c r="Y42" s="6">
        <v>-2178</v>
      </c>
      <c r="Z42" s="98">
        <v>-3701</v>
      </c>
      <c r="AA42" s="98">
        <v>-3758</v>
      </c>
      <c r="AB42" s="98">
        <v>-2179</v>
      </c>
      <c r="AC42" s="98">
        <v>-2797</v>
      </c>
      <c r="AD42" s="98">
        <v>-5050</v>
      </c>
      <c r="AE42" s="98">
        <v>-5962</v>
      </c>
      <c r="AF42" s="98">
        <v>-4825</v>
      </c>
      <c r="AG42" s="98">
        <v>-3202</v>
      </c>
      <c r="AH42" s="98">
        <v>-4496</v>
      </c>
      <c r="AI42" s="98">
        <v>-5572</v>
      </c>
      <c r="AJ42" s="98">
        <v>-6314</v>
      </c>
      <c r="AK42" s="98">
        <v>-5091</v>
      </c>
      <c r="AL42" s="98">
        <v>-8282</v>
      </c>
    </row>
    <row r="43" spans="4:38" ht="16.5">
      <c r="D43" s="4" t="s">
        <v>419</v>
      </c>
      <c r="E43" s="6">
        <v>93</v>
      </c>
      <c r="F43" s="6">
        <v>66</v>
      </c>
      <c r="G43" s="119" t="s">
        <v>124</v>
      </c>
      <c r="H43" s="6">
        <v>263</v>
      </c>
      <c r="I43" s="119" t="s">
        <v>124</v>
      </c>
      <c r="J43" s="119" t="s">
        <v>124</v>
      </c>
      <c r="K43" s="6">
        <v>122</v>
      </c>
      <c r="L43" s="6">
        <v>353</v>
      </c>
      <c r="M43" s="6">
        <v>431</v>
      </c>
      <c r="N43" s="98">
        <v>123</v>
      </c>
      <c r="O43" s="98">
        <v>161</v>
      </c>
      <c r="P43" s="98">
        <v>642</v>
      </c>
      <c r="Q43" s="98">
        <v>981</v>
      </c>
      <c r="R43" s="1"/>
      <c r="S43" s="6">
        <v>108</v>
      </c>
      <c r="T43" s="6">
        <v>49</v>
      </c>
      <c r="U43" s="6">
        <v>90.670999999999992</v>
      </c>
      <c r="V43" s="6">
        <v>183.32900000000001</v>
      </c>
      <c r="W43" s="6">
        <v>32</v>
      </c>
      <c r="X43" s="6">
        <v>30</v>
      </c>
      <c r="Y43" s="6">
        <v>11</v>
      </c>
      <c r="Z43" s="98">
        <v>50</v>
      </c>
      <c r="AA43" s="98">
        <v>21</v>
      </c>
      <c r="AB43" s="98">
        <v>24</v>
      </c>
      <c r="AC43" s="98">
        <v>48</v>
      </c>
      <c r="AD43" s="98">
        <v>68</v>
      </c>
      <c r="AE43" s="227">
        <v>85</v>
      </c>
      <c r="AF43" s="227">
        <v>56</v>
      </c>
      <c r="AG43" s="227">
        <v>232</v>
      </c>
      <c r="AH43" s="227">
        <v>269</v>
      </c>
      <c r="AI43" s="227">
        <v>38</v>
      </c>
      <c r="AJ43" s="6">
        <v>142</v>
      </c>
      <c r="AK43" s="6">
        <v>611</v>
      </c>
      <c r="AL43" s="6">
        <v>190</v>
      </c>
    </row>
    <row r="44" spans="4:38">
      <c r="D44" s="4" t="s">
        <v>222</v>
      </c>
      <c r="E44" s="6">
        <v>14</v>
      </c>
      <c r="F44" s="6">
        <v>104</v>
      </c>
      <c r="G44" s="119" t="s">
        <v>124</v>
      </c>
      <c r="H44" s="119" t="s">
        <v>124</v>
      </c>
      <c r="I44" s="6">
        <v>-8</v>
      </c>
      <c r="J44" s="6">
        <v>-1</v>
      </c>
      <c r="K44" s="119" t="s">
        <v>124</v>
      </c>
      <c r="L44" s="119" t="s">
        <v>124</v>
      </c>
      <c r="M44" s="119" t="s">
        <v>124</v>
      </c>
      <c r="N44" s="98">
        <v>-150</v>
      </c>
      <c r="O44" s="98">
        <v>-400</v>
      </c>
      <c r="P44" s="119" t="s">
        <v>124</v>
      </c>
      <c r="Q44" s="119" t="s">
        <v>124</v>
      </c>
      <c r="R44" s="1"/>
      <c r="S44" s="119" t="s">
        <v>124</v>
      </c>
      <c r="T44" s="119" t="s">
        <v>124</v>
      </c>
      <c r="U44" s="119" t="s">
        <v>124</v>
      </c>
      <c r="V44" s="119" t="s">
        <v>124</v>
      </c>
      <c r="W44" s="119" t="s">
        <v>124</v>
      </c>
      <c r="X44" s="119" t="s">
        <v>124</v>
      </c>
      <c r="Y44" s="119" t="s">
        <v>124</v>
      </c>
      <c r="Z44" s="98">
        <v>-150</v>
      </c>
      <c r="AA44" s="98" t="s">
        <v>124</v>
      </c>
      <c r="AB44" s="98">
        <v>-285</v>
      </c>
      <c r="AC44" s="98">
        <v>-25</v>
      </c>
      <c r="AD44" s="98">
        <v>-90</v>
      </c>
      <c r="AE44" s="6" t="s">
        <v>124</v>
      </c>
      <c r="AF44" s="6">
        <v>-75</v>
      </c>
      <c r="AG44" s="6">
        <v>75</v>
      </c>
      <c r="AH44" s="6" t="s">
        <v>124</v>
      </c>
      <c r="AI44" s="6" t="s">
        <v>124</v>
      </c>
      <c r="AJ44" s="6" t="s">
        <v>124</v>
      </c>
      <c r="AK44" s="6" t="s">
        <v>124</v>
      </c>
      <c r="AL44" s="6" t="s">
        <v>124</v>
      </c>
    </row>
    <row r="45" spans="4:38">
      <c r="D45" s="8" t="s">
        <v>420</v>
      </c>
      <c r="E45" s="109">
        <v>-7678</v>
      </c>
      <c r="F45" s="109">
        <v>-8752</v>
      </c>
      <c r="G45" s="109">
        <v>-13605</v>
      </c>
      <c r="H45" s="109">
        <v>-15906</v>
      </c>
      <c r="I45" s="109">
        <v>-20772</v>
      </c>
      <c r="J45" s="109">
        <v>-28733</v>
      </c>
      <c r="K45" s="109">
        <v>-22060</v>
      </c>
      <c r="L45" s="109">
        <v>-20801</v>
      </c>
      <c r="M45" s="109">
        <f>SUM(M33:M44)</f>
        <v>-21608</v>
      </c>
      <c r="N45" s="102">
        <v>-34737</v>
      </c>
      <c r="O45" s="102">
        <v>-39658</v>
      </c>
      <c r="P45" s="102">
        <v>-51842</v>
      </c>
      <c r="Q45" s="102">
        <v>-46245</v>
      </c>
      <c r="R45" s="1"/>
      <c r="S45" s="109">
        <f>SUM(S33:S44)</f>
        <v>-5514</v>
      </c>
      <c r="T45" s="109">
        <f>SUM(T33:T44)</f>
        <v>-3823</v>
      </c>
      <c r="U45" s="109">
        <f>SUM(U33:U44)</f>
        <v>-6246.3289999999997</v>
      </c>
      <c r="V45" s="109">
        <v>-6024.6710000000003</v>
      </c>
      <c r="W45" s="109">
        <f>SUM(W33:W44)</f>
        <v>-2702</v>
      </c>
      <c r="X45" s="109">
        <f>SUM(X33:X44)</f>
        <v>-6530</v>
      </c>
      <c r="Y45" s="109">
        <f>SUM(Y33:Y44)</f>
        <v>-7341</v>
      </c>
      <c r="Z45" s="109">
        <v>-18164</v>
      </c>
      <c r="AA45" s="109">
        <v>-8033</v>
      </c>
      <c r="AB45" s="109">
        <v>-12971</v>
      </c>
      <c r="AC45" s="109">
        <v>-10163</v>
      </c>
      <c r="AD45" s="138">
        <v>-8385</v>
      </c>
      <c r="AE45" s="138">
        <v>-15069</v>
      </c>
      <c r="AF45" s="138">
        <v>-16299</v>
      </c>
      <c r="AG45" s="138">
        <v>-8395</v>
      </c>
      <c r="AH45" s="138">
        <v>-12079</v>
      </c>
      <c r="AI45" s="138">
        <v>-11264</v>
      </c>
      <c r="AJ45" s="138">
        <v>-12660</v>
      </c>
      <c r="AK45" s="138">
        <v>-9613</v>
      </c>
      <c r="AL45" s="138">
        <v>-12708</v>
      </c>
    </row>
    <row r="46" spans="4:38">
      <c r="D46" s="120" t="s">
        <v>421</v>
      </c>
      <c r="E46" s="115">
        <v>-4929</v>
      </c>
      <c r="F46" s="115">
        <v>109</v>
      </c>
      <c r="G46" s="115">
        <v>-4766</v>
      </c>
      <c r="H46" s="115">
        <v>7234</v>
      </c>
      <c r="I46" s="115">
        <v>6515</v>
      </c>
      <c r="J46" s="115">
        <v>-3800</v>
      </c>
      <c r="K46" s="115">
        <v>4705</v>
      </c>
      <c r="L46" s="115">
        <v>11573</v>
      </c>
      <c r="M46" s="115">
        <f>+M30+M45</f>
        <v>13282</v>
      </c>
      <c r="N46" s="133">
        <v>-4885</v>
      </c>
      <c r="O46" s="133">
        <v>-6059</v>
      </c>
      <c r="P46" s="133">
        <v>-8975</v>
      </c>
      <c r="Q46" s="133">
        <v>1127</v>
      </c>
      <c r="R46" s="1"/>
      <c r="S46" s="115">
        <v>-15394</v>
      </c>
      <c r="T46" s="115">
        <v>2591</v>
      </c>
      <c r="U46" s="115">
        <v>10148</v>
      </c>
      <c r="V46" s="115">
        <v>15937</v>
      </c>
      <c r="W46" s="115">
        <v>-6890</v>
      </c>
      <c r="X46" s="115">
        <v>-9</v>
      </c>
      <c r="Y46" s="115">
        <v>-9227</v>
      </c>
      <c r="Z46" s="133">
        <v>11241</v>
      </c>
      <c r="AA46" s="133">
        <v>-12272</v>
      </c>
      <c r="AB46" s="133">
        <v>-5600</v>
      </c>
      <c r="AC46" s="133">
        <v>3237</v>
      </c>
      <c r="AD46" s="102">
        <v>8576</v>
      </c>
      <c r="AE46" s="102">
        <v>-17449</v>
      </c>
      <c r="AF46" s="102">
        <v>684</v>
      </c>
      <c r="AG46" s="102">
        <v>1729</v>
      </c>
      <c r="AH46" s="102">
        <v>6061</v>
      </c>
      <c r="AI46" s="102">
        <v>-12201</v>
      </c>
      <c r="AJ46" s="102">
        <v>119</v>
      </c>
      <c r="AK46" s="102">
        <v>-401</v>
      </c>
      <c r="AL46" s="102">
        <v>13610</v>
      </c>
    </row>
    <row r="47" spans="4:38">
      <c r="D47" s="4"/>
      <c r="E47" s="6"/>
      <c r="F47" s="6"/>
      <c r="G47" s="6"/>
      <c r="H47" s="6"/>
      <c r="I47" s="117"/>
      <c r="J47" s="117"/>
      <c r="K47" s="117"/>
      <c r="L47" s="117"/>
      <c r="M47" s="6"/>
      <c r="N47" s="98"/>
      <c r="O47" s="222"/>
      <c r="P47" s="222"/>
      <c r="Q47" s="222"/>
      <c r="R47" s="1"/>
      <c r="S47" s="6"/>
      <c r="T47" s="6"/>
      <c r="U47" s="10"/>
      <c r="V47" s="6"/>
      <c r="W47" s="98"/>
      <c r="X47" s="98"/>
      <c r="Y47" s="98"/>
      <c r="Z47" s="98"/>
      <c r="AA47" s="98"/>
      <c r="AB47" s="98"/>
      <c r="AE47" s="161"/>
      <c r="AI47" s="4"/>
      <c r="AJ47" s="4"/>
    </row>
    <row r="48" spans="4:38">
      <c r="D48" s="8" t="s">
        <v>422</v>
      </c>
      <c r="E48" s="6"/>
      <c r="F48" s="6"/>
      <c r="G48" s="6"/>
      <c r="H48" s="117"/>
      <c r="I48" s="117"/>
      <c r="J48" s="117"/>
      <c r="K48" s="117"/>
      <c r="L48" s="117"/>
      <c r="M48" s="109"/>
      <c r="N48" s="102"/>
      <c r="O48" s="225"/>
      <c r="P48" s="225"/>
      <c r="Q48" s="225"/>
      <c r="R48" s="1"/>
      <c r="S48" s="109"/>
      <c r="T48" s="109"/>
      <c r="U48" s="125"/>
      <c r="V48" s="109"/>
      <c r="W48" s="102"/>
      <c r="X48" s="102"/>
      <c r="Y48" s="102"/>
      <c r="Z48" s="102"/>
      <c r="AA48" s="102"/>
      <c r="AB48" s="102"/>
      <c r="AE48" s="161"/>
      <c r="AI48" s="4"/>
      <c r="AJ48" s="4"/>
    </row>
    <row r="49" spans="4:38">
      <c r="D49" s="4" t="s">
        <v>423</v>
      </c>
      <c r="E49" s="6">
        <v>8063</v>
      </c>
      <c r="F49" s="6">
        <v>5336</v>
      </c>
      <c r="G49" s="6">
        <v>7270</v>
      </c>
      <c r="H49" s="6">
        <v>5935</v>
      </c>
      <c r="I49" s="6">
        <v>1696</v>
      </c>
      <c r="J49" s="6">
        <v>1291</v>
      </c>
      <c r="K49" s="6">
        <v>3087</v>
      </c>
      <c r="L49" s="6">
        <v>1361</v>
      </c>
      <c r="M49" s="6">
        <v>5011</v>
      </c>
      <c r="N49" s="98">
        <v>1579</v>
      </c>
      <c r="O49" s="98">
        <v>1040</v>
      </c>
      <c r="P49" s="98">
        <v>3970</v>
      </c>
      <c r="Q49" s="98">
        <v>199</v>
      </c>
      <c r="R49" s="1"/>
      <c r="S49" s="6">
        <v>421</v>
      </c>
      <c r="T49" s="6">
        <v>4282</v>
      </c>
      <c r="U49" s="6">
        <v>194</v>
      </c>
      <c r="V49" s="6">
        <v>114</v>
      </c>
      <c r="W49" s="6">
        <v>211</v>
      </c>
      <c r="X49" s="6">
        <v>1241</v>
      </c>
      <c r="Y49" s="6">
        <v>125</v>
      </c>
      <c r="Z49" s="98">
        <v>2</v>
      </c>
      <c r="AA49" s="98">
        <v>65</v>
      </c>
      <c r="AB49" s="98">
        <v>959</v>
      </c>
      <c r="AC49" s="98">
        <v>7</v>
      </c>
      <c r="AD49" s="98">
        <v>9</v>
      </c>
      <c r="AE49" s="98">
        <v>776</v>
      </c>
      <c r="AF49" s="98">
        <v>809</v>
      </c>
      <c r="AG49" s="98">
        <v>-39</v>
      </c>
      <c r="AH49" s="98">
        <v>2424</v>
      </c>
      <c r="AI49" s="98">
        <v>116</v>
      </c>
      <c r="AJ49" s="98">
        <v>-55</v>
      </c>
      <c r="AK49" s="98">
        <v>-27</v>
      </c>
      <c r="AL49" s="98">
        <v>165</v>
      </c>
    </row>
    <row r="50" spans="4:38">
      <c r="D50" s="4" t="s">
        <v>424</v>
      </c>
      <c r="E50" s="119" t="s">
        <v>124</v>
      </c>
      <c r="F50" s="119" t="s">
        <v>124</v>
      </c>
      <c r="G50" s="119" t="s">
        <v>124</v>
      </c>
      <c r="H50" s="119" t="s">
        <v>124</v>
      </c>
      <c r="I50" s="6">
        <v>7579</v>
      </c>
      <c r="J50" s="6">
        <v>4914</v>
      </c>
      <c r="K50" s="119" t="s">
        <v>124</v>
      </c>
      <c r="L50" s="6">
        <v>8221</v>
      </c>
      <c r="M50" s="6">
        <v>5209</v>
      </c>
      <c r="N50" s="97" t="s">
        <v>124</v>
      </c>
      <c r="O50" s="97">
        <v>5260</v>
      </c>
      <c r="P50" s="97">
        <v>1500</v>
      </c>
      <c r="Q50" s="97">
        <v>5857</v>
      </c>
      <c r="R50" s="1"/>
      <c r="S50" s="119" t="s">
        <v>124</v>
      </c>
      <c r="T50" s="119" t="s">
        <v>124</v>
      </c>
      <c r="U50" s="119" t="s">
        <v>124</v>
      </c>
      <c r="V50" s="6">
        <v>5209</v>
      </c>
      <c r="W50" s="119" t="s">
        <v>124</v>
      </c>
      <c r="X50" s="119" t="s">
        <v>124</v>
      </c>
      <c r="Y50" s="119" t="s">
        <v>124</v>
      </c>
      <c r="Z50" s="97" t="s">
        <v>124</v>
      </c>
      <c r="AA50" s="98" t="s">
        <v>124</v>
      </c>
      <c r="AB50" s="98">
        <v>5260</v>
      </c>
      <c r="AC50" s="14" t="s">
        <v>124</v>
      </c>
      <c r="AD50" s="14" t="s">
        <v>124</v>
      </c>
      <c r="AE50" s="10">
        <v>1500</v>
      </c>
      <c r="AF50" s="98" t="s">
        <v>124</v>
      </c>
      <c r="AG50" s="98" t="s">
        <v>124</v>
      </c>
      <c r="AH50" s="98" t="s">
        <v>124</v>
      </c>
      <c r="AI50" s="98" t="s">
        <v>124</v>
      </c>
      <c r="AJ50" s="98">
        <v>5857</v>
      </c>
      <c r="AK50" s="98" t="s">
        <v>124</v>
      </c>
      <c r="AL50" s="98" t="s">
        <v>124</v>
      </c>
    </row>
    <row r="51" spans="4:38">
      <c r="D51" s="4" t="s">
        <v>425</v>
      </c>
      <c r="E51" s="97" t="s">
        <v>124</v>
      </c>
      <c r="F51" s="97" t="s">
        <v>124</v>
      </c>
      <c r="G51" s="97" t="s">
        <v>124</v>
      </c>
      <c r="H51" s="97" t="s">
        <v>124</v>
      </c>
      <c r="I51" s="97" t="s">
        <v>124</v>
      </c>
      <c r="J51" s="97" t="s">
        <v>124</v>
      </c>
      <c r="K51" s="97" t="s">
        <v>124</v>
      </c>
      <c r="L51" s="97" t="s">
        <v>124</v>
      </c>
      <c r="M51" s="119" t="s">
        <v>124</v>
      </c>
      <c r="N51" s="119" t="s">
        <v>124</v>
      </c>
      <c r="O51" s="119" t="s">
        <v>124</v>
      </c>
      <c r="P51" s="119" t="s">
        <v>124</v>
      </c>
      <c r="Q51" s="97">
        <v>-190</v>
      </c>
      <c r="R51" s="1"/>
      <c r="S51" s="119" t="s">
        <v>124</v>
      </c>
      <c r="T51" s="119" t="s">
        <v>124</v>
      </c>
      <c r="U51" s="119" t="s">
        <v>124</v>
      </c>
      <c r="V51" s="119" t="s">
        <v>124</v>
      </c>
      <c r="W51" s="119" t="s">
        <v>124</v>
      </c>
      <c r="X51" s="119" t="s">
        <v>124</v>
      </c>
      <c r="Y51" s="98" t="s">
        <v>124</v>
      </c>
      <c r="Z51" s="98" t="s">
        <v>124</v>
      </c>
      <c r="AA51" s="98" t="s">
        <v>124</v>
      </c>
      <c r="AB51" s="98" t="s">
        <v>124</v>
      </c>
      <c r="AC51" s="98" t="s">
        <v>124</v>
      </c>
      <c r="AD51" s="98" t="s">
        <v>124</v>
      </c>
      <c r="AE51" s="98" t="s">
        <v>124</v>
      </c>
      <c r="AF51" s="98" t="s">
        <v>124</v>
      </c>
      <c r="AG51" s="98" t="s">
        <v>124</v>
      </c>
      <c r="AH51" s="98" t="s">
        <v>124</v>
      </c>
      <c r="AI51" s="98" t="s">
        <v>124</v>
      </c>
      <c r="AJ51" s="98" t="s">
        <v>124</v>
      </c>
      <c r="AK51" s="98">
        <v>-190</v>
      </c>
      <c r="AL51" s="98" t="s">
        <v>124</v>
      </c>
    </row>
    <row r="52" spans="4:38">
      <c r="D52" s="4" t="s">
        <v>426</v>
      </c>
      <c r="E52" s="97" t="s">
        <v>124</v>
      </c>
      <c r="F52" s="97" t="s">
        <v>124</v>
      </c>
      <c r="G52" s="97" t="s">
        <v>124</v>
      </c>
      <c r="H52" s="97" t="s">
        <v>124</v>
      </c>
      <c r="I52" s="97" t="s">
        <v>124</v>
      </c>
      <c r="J52" s="97" t="s">
        <v>124</v>
      </c>
      <c r="K52" s="97" t="s">
        <v>124</v>
      </c>
      <c r="L52" s="97" t="s">
        <v>124</v>
      </c>
      <c r="M52" s="119" t="s">
        <v>124</v>
      </c>
      <c r="N52" s="98">
        <v>20807</v>
      </c>
      <c r="O52" s="119" t="s">
        <v>124</v>
      </c>
      <c r="P52" s="119" t="s">
        <v>124</v>
      </c>
      <c r="Q52" s="119" t="s">
        <v>124</v>
      </c>
      <c r="R52" s="1"/>
      <c r="S52" s="119" t="s">
        <v>124</v>
      </c>
      <c r="T52" s="119" t="s">
        <v>124</v>
      </c>
      <c r="U52" s="119" t="s">
        <v>124</v>
      </c>
      <c r="V52" s="119" t="s">
        <v>124</v>
      </c>
      <c r="W52" s="119" t="s">
        <v>124</v>
      </c>
      <c r="X52" s="119" t="s">
        <v>124</v>
      </c>
      <c r="Y52" s="6">
        <v>907</v>
      </c>
      <c r="Z52" s="98">
        <v>19900</v>
      </c>
      <c r="AA52" s="98" t="s">
        <v>124</v>
      </c>
      <c r="AB52" s="98" t="s">
        <v>124</v>
      </c>
      <c r="AC52" s="98" t="s">
        <v>124</v>
      </c>
      <c r="AD52" s="98" t="s">
        <v>124</v>
      </c>
      <c r="AE52" s="98" t="s">
        <v>124</v>
      </c>
      <c r="AF52" s="98" t="s">
        <v>124</v>
      </c>
      <c r="AG52" s="98" t="s">
        <v>124</v>
      </c>
      <c r="AH52" s="98" t="s">
        <v>124</v>
      </c>
      <c r="AI52" s="98" t="s">
        <v>124</v>
      </c>
      <c r="AJ52" s="98" t="s">
        <v>124</v>
      </c>
      <c r="AK52" s="98" t="s">
        <v>124</v>
      </c>
      <c r="AL52" s="98" t="s">
        <v>124</v>
      </c>
    </row>
    <row r="53" spans="4:38">
      <c r="D53" s="4" t="s">
        <v>427</v>
      </c>
      <c r="E53" s="97" t="s">
        <v>124</v>
      </c>
      <c r="F53" s="97" t="s">
        <v>124</v>
      </c>
      <c r="G53" s="97" t="s">
        <v>124</v>
      </c>
      <c r="H53" s="97" t="s">
        <v>124</v>
      </c>
      <c r="I53" s="97" t="s">
        <v>124</v>
      </c>
      <c r="J53" s="97" t="s">
        <v>124</v>
      </c>
      <c r="K53" s="97" t="s">
        <v>124</v>
      </c>
      <c r="L53" s="97" t="s">
        <v>124</v>
      </c>
      <c r="M53" s="119" t="s">
        <v>124</v>
      </c>
      <c r="N53" s="98">
        <v>-8064</v>
      </c>
      <c r="O53" s="119" t="s">
        <v>124</v>
      </c>
      <c r="P53" s="119">
        <v>-2000</v>
      </c>
      <c r="Q53" s="119">
        <v>-6936</v>
      </c>
      <c r="R53" s="1"/>
      <c r="S53" s="119" t="s">
        <v>124</v>
      </c>
      <c r="T53" s="119" t="s">
        <v>124</v>
      </c>
      <c r="U53" s="119" t="s">
        <v>124</v>
      </c>
      <c r="V53" s="119" t="s">
        <v>124</v>
      </c>
      <c r="W53" s="119" t="s">
        <v>124</v>
      </c>
      <c r="X53" s="6">
        <v>-5065</v>
      </c>
      <c r="Y53" s="119" t="s">
        <v>124</v>
      </c>
      <c r="Z53" s="98">
        <v>-2999</v>
      </c>
      <c r="AA53" s="98" t="s">
        <v>124</v>
      </c>
      <c r="AB53" s="98" t="s">
        <v>124</v>
      </c>
      <c r="AC53" s="98" t="s">
        <v>124</v>
      </c>
      <c r="AD53" s="98" t="s">
        <v>124</v>
      </c>
      <c r="AE53" s="98">
        <v>-2000</v>
      </c>
      <c r="AF53" s="98" t="s">
        <v>124</v>
      </c>
      <c r="AG53" s="98" t="s">
        <v>124</v>
      </c>
      <c r="AH53" s="98" t="s">
        <v>124</v>
      </c>
      <c r="AI53" s="98" t="s">
        <v>124</v>
      </c>
      <c r="AJ53" s="98">
        <v>-6936</v>
      </c>
      <c r="AL53" s="98" t="s">
        <v>124</v>
      </c>
    </row>
    <row r="54" spans="4:38">
      <c r="D54" s="4" t="s">
        <v>428</v>
      </c>
      <c r="E54" s="6">
        <v>-7251</v>
      </c>
      <c r="F54" s="6">
        <v>-45</v>
      </c>
      <c r="G54" s="6">
        <v>-5101</v>
      </c>
      <c r="H54" s="6">
        <v>-6626</v>
      </c>
      <c r="I54" s="6">
        <v>-7634</v>
      </c>
      <c r="J54" s="6">
        <v>-3658</v>
      </c>
      <c r="K54" s="6">
        <v>-7354</v>
      </c>
      <c r="L54" s="6">
        <v>-3553</v>
      </c>
      <c r="M54" s="6">
        <v>-4612</v>
      </c>
      <c r="N54" s="98">
        <v>-2957</v>
      </c>
      <c r="O54" s="98">
        <v>-4530</v>
      </c>
      <c r="P54" s="98">
        <v>-673</v>
      </c>
      <c r="Q54" s="98">
        <v>-862</v>
      </c>
      <c r="R54" s="1"/>
      <c r="S54" s="6">
        <v>-375</v>
      </c>
      <c r="T54" s="6">
        <v>-2677</v>
      </c>
      <c r="U54" s="6">
        <v>-448</v>
      </c>
      <c r="V54" s="6">
        <v>-1112</v>
      </c>
      <c r="W54" s="6">
        <v>-329</v>
      </c>
      <c r="X54" s="6">
        <v>-1029</v>
      </c>
      <c r="Y54" s="6">
        <v>-369</v>
      </c>
      <c r="Z54" s="98">
        <v>-1230</v>
      </c>
      <c r="AA54" s="98">
        <v>-4</v>
      </c>
      <c r="AB54" s="98">
        <v>-4288</v>
      </c>
      <c r="AC54" s="98">
        <v>13</v>
      </c>
      <c r="AD54" s="98">
        <v>-251</v>
      </c>
      <c r="AE54" s="98" t="s">
        <v>124</v>
      </c>
      <c r="AF54" s="98">
        <v>-376</v>
      </c>
      <c r="AG54" s="98">
        <v>17</v>
      </c>
      <c r="AH54" s="98">
        <v>-314</v>
      </c>
      <c r="AI54" s="98">
        <v>-188</v>
      </c>
      <c r="AJ54" s="98">
        <v>-315</v>
      </c>
      <c r="AK54" s="98">
        <v>-59</v>
      </c>
      <c r="AL54" s="98">
        <v>-300</v>
      </c>
    </row>
    <row r="55" spans="4:38">
      <c r="D55" s="4" t="s">
        <v>429</v>
      </c>
      <c r="E55" s="119" t="s">
        <v>124</v>
      </c>
      <c r="F55" s="119" t="s">
        <v>124</v>
      </c>
      <c r="G55" s="119" t="s">
        <v>124</v>
      </c>
      <c r="H55" s="119" t="s">
        <v>124</v>
      </c>
      <c r="I55" s="119" t="s">
        <v>124</v>
      </c>
      <c r="J55" s="119" t="s">
        <v>124</v>
      </c>
      <c r="K55" s="119" t="s">
        <v>124</v>
      </c>
      <c r="L55" s="6">
        <v>-1356</v>
      </c>
      <c r="M55" s="6">
        <v>-1350</v>
      </c>
      <c r="N55" s="98">
        <v>-1450</v>
      </c>
      <c r="O55" s="98">
        <v>-1711</v>
      </c>
      <c r="P55" s="98">
        <v>-1747</v>
      </c>
      <c r="Q55" s="98">
        <v>-2053</v>
      </c>
      <c r="R55" s="1"/>
      <c r="S55" s="6">
        <v>-346</v>
      </c>
      <c r="T55" s="6">
        <v>-334</v>
      </c>
      <c r="U55" s="6">
        <v>-322</v>
      </c>
      <c r="V55" s="6">
        <v>-348</v>
      </c>
      <c r="W55" s="6">
        <v>-334</v>
      </c>
      <c r="X55" s="6">
        <v>-343</v>
      </c>
      <c r="Y55" s="6">
        <v>-388</v>
      </c>
      <c r="Z55" s="98">
        <v>-385</v>
      </c>
      <c r="AA55" s="98">
        <v>-407</v>
      </c>
      <c r="AB55" s="98">
        <v>-393</v>
      </c>
      <c r="AC55" s="98">
        <v>-401</v>
      </c>
      <c r="AD55" s="98">
        <v>-510</v>
      </c>
      <c r="AE55" s="98">
        <v>-429</v>
      </c>
      <c r="AF55" s="98">
        <v>-424</v>
      </c>
      <c r="AG55" s="98">
        <v>-423</v>
      </c>
      <c r="AH55" s="98">
        <v>-471</v>
      </c>
      <c r="AI55" s="98">
        <v>-420</v>
      </c>
      <c r="AJ55" s="98">
        <v>-499</v>
      </c>
      <c r="AK55" s="98">
        <v>-526</v>
      </c>
      <c r="AL55" s="98">
        <v>-608</v>
      </c>
    </row>
    <row r="56" spans="4:38">
      <c r="D56" s="4" t="s">
        <v>430</v>
      </c>
      <c r="E56" s="119" t="s">
        <v>124</v>
      </c>
      <c r="F56" s="119" t="s">
        <v>124</v>
      </c>
      <c r="G56" s="119" t="s">
        <v>124</v>
      </c>
      <c r="H56" s="119" t="s">
        <v>124</v>
      </c>
      <c r="I56" s="6">
        <v>4979</v>
      </c>
      <c r="J56" s="6">
        <v>-82</v>
      </c>
      <c r="K56" s="119" t="s">
        <v>124</v>
      </c>
      <c r="L56" s="6">
        <v>5011</v>
      </c>
      <c r="M56" s="119" t="s">
        <v>124</v>
      </c>
      <c r="N56" s="97" t="s">
        <v>124</v>
      </c>
      <c r="O56" s="97" t="s">
        <v>124</v>
      </c>
      <c r="P56" s="97" t="s">
        <v>124</v>
      </c>
      <c r="Q56" s="97" t="s">
        <v>124</v>
      </c>
      <c r="R56" s="1"/>
      <c r="S56" s="119" t="s">
        <v>124</v>
      </c>
      <c r="T56" s="119" t="s">
        <v>124</v>
      </c>
      <c r="U56" s="119" t="s">
        <v>124</v>
      </c>
      <c r="V56" s="119" t="s">
        <v>124</v>
      </c>
      <c r="W56" s="119" t="s">
        <v>124</v>
      </c>
      <c r="X56" s="119" t="s">
        <v>124</v>
      </c>
      <c r="Y56" s="119" t="s">
        <v>124</v>
      </c>
      <c r="Z56" s="119" t="s">
        <v>124</v>
      </c>
      <c r="AA56" s="6" t="s">
        <v>124</v>
      </c>
      <c r="AB56" s="6" t="s">
        <v>124</v>
      </c>
      <c r="AC56" s="98" t="s">
        <v>124</v>
      </c>
      <c r="AD56" s="98" t="s">
        <v>124</v>
      </c>
      <c r="AE56" s="98" t="s">
        <v>124</v>
      </c>
      <c r="AF56" s="98" t="s">
        <v>124</v>
      </c>
      <c r="AG56" s="98" t="s">
        <v>124</v>
      </c>
      <c r="AH56" s="98" t="s">
        <v>124</v>
      </c>
      <c r="AI56" s="98" t="s">
        <v>124</v>
      </c>
      <c r="AJ56" s="98" t="s">
        <v>124</v>
      </c>
      <c r="AK56" s="98" t="s">
        <v>124</v>
      </c>
      <c r="AL56" s="98" t="s">
        <v>124</v>
      </c>
    </row>
    <row r="57" spans="4:38">
      <c r="D57" s="4" t="s">
        <v>431</v>
      </c>
      <c r="E57" s="119" t="s">
        <v>124</v>
      </c>
      <c r="F57" s="119" t="s">
        <v>124</v>
      </c>
      <c r="G57" s="119" t="s">
        <v>124</v>
      </c>
      <c r="H57" s="119" t="s">
        <v>124</v>
      </c>
      <c r="I57" s="119" t="s">
        <v>124</v>
      </c>
      <c r="J57" s="119" t="s">
        <v>124</v>
      </c>
      <c r="K57" s="119" t="s">
        <v>124</v>
      </c>
      <c r="L57" s="15">
        <v>-5745</v>
      </c>
      <c r="M57" s="119" t="s">
        <v>124</v>
      </c>
      <c r="N57" s="97" t="s">
        <v>124</v>
      </c>
      <c r="O57" s="97" t="s">
        <v>124</v>
      </c>
      <c r="P57" s="97" t="s">
        <v>124</v>
      </c>
      <c r="Q57" s="97" t="s">
        <v>124</v>
      </c>
      <c r="R57" s="1"/>
      <c r="S57" s="119" t="s">
        <v>124</v>
      </c>
      <c r="T57" s="119" t="s">
        <v>124</v>
      </c>
      <c r="U57" s="119" t="s">
        <v>124</v>
      </c>
      <c r="V57" s="119" t="s">
        <v>124</v>
      </c>
      <c r="W57" s="119" t="s">
        <v>124</v>
      </c>
      <c r="X57" s="119" t="s">
        <v>124</v>
      </c>
      <c r="Y57" s="119" t="s">
        <v>124</v>
      </c>
      <c r="Z57" s="119" t="s">
        <v>124</v>
      </c>
      <c r="AA57" s="6" t="s">
        <v>124</v>
      </c>
      <c r="AB57" s="6" t="s">
        <v>124</v>
      </c>
      <c r="AC57" s="14" t="s">
        <v>124</v>
      </c>
      <c r="AD57" s="98" t="s">
        <v>124</v>
      </c>
      <c r="AE57" s="98" t="s">
        <v>124</v>
      </c>
      <c r="AF57" s="98" t="s">
        <v>124</v>
      </c>
      <c r="AG57" s="98" t="s">
        <v>124</v>
      </c>
      <c r="AH57" s="98" t="s">
        <v>124</v>
      </c>
      <c r="AI57" s="98" t="s">
        <v>124</v>
      </c>
      <c r="AJ57" s="98" t="s">
        <v>124</v>
      </c>
      <c r="AK57" s="98" t="s">
        <v>124</v>
      </c>
      <c r="AL57" s="98" t="s">
        <v>124</v>
      </c>
    </row>
    <row r="58" spans="4:38">
      <c r="D58" s="4" t="s">
        <v>432</v>
      </c>
      <c r="E58" s="119" t="s">
        <v>124</v>
      </c>
      <c r="F58" s="119" t="s">
        <v>124</v>
      </c>
      <c r="G58" s="119" t="s">
        <v>124</v>
      </c>
      <c r="H58" s="119" t="s">
        <v>124</v>
      </c>
      <c r="I58" s="119" t="s">
        <v>124</v>
      </c>
      <c r="J58" s="6">
        <v>-2188</v>
      </c>
      <c r="K58" s="6">
        <v>-67</v>
      </c>
      <c r="L58" s="6">
        <v>-2897</v>
      </c>
      <c r="M58" s="6">
        <v>-4</v>
      </c>
      <c r="N58" s="98">
        <v>-10462</v>
      </c>
      <c r="O58" s="98">
        <v>-846</v>
      </c>
      <c r="P58" s="97" t="s">
        <v>124</v>
      </c>
      <c r="Q58" s="97" t="s">
        <v>124</v>
      </c>
      <c r="R58" s="1"/>
      <c r="S58" s="119" t="s">
        <v>124</v>
      </c>
      <c r="T58" s="119" t="s">
        <v>124</v>
      </c>
      <c r="U58" s="6">
        <v>-4</v>
      </c>
      <c r="V58" s="119" t="s">
        <v>124</v>
      </c>
      <c r="W58" s="6">
        <v>-158</v>
      </c>
      <c r="X58" s="6">
        <v>-4709</v>
      </c>
      <c r="Y58" s="6">
        <v>-5102</v>
      </c>
      <c r="Z58" s="98">
        <v>-493</v>
      </c>
      <c r="AA58" s="6" t="s">
        <v>124</v>
      </c>
      <c r="AB58" s="6" t="s">
        <v>124</v>
      </c>
      <c r="AC58" s="98">
        <v>-846</v>
      </c>
      <c r="AD58" s="98">
        <v>-1</v>
      </c>
      <c r="AE58" s="98" t="s">
        <v>124</v>
      </c>
      <c r="AF58" s="98" t="s">
        <v>124</v>
      </c>
      <c r="AG58" s="98" t="s">
        <v>124</v>
      </c>
      <c r="AH58" s="98" t="s">
        <v>124</v>
      </c>
      <c r="AI58" s="98" t="s">
        <v>124</v>
      </c>
      <c r="AJ58" s="98" t="s">
        <v>124</v>
      </c>
      <c r="AK58" s="98" t="s">
        <v>124</v>
      </c>
      <c r="AL58" s="98" t="s">
        <v>124</v>
      </c>
    </row>
    <row r="59" spans="4:38">
      <c r="D59" s="4" t="s">
        <v>433</v>
      </c>
      <c r="E59" s="119" t="s">
        <v>124</v>
      </c>
      <c r="F59" s="119" t="s">
        <v>124</v>
      </c>
      <c r="G59" s="119" t="s">
        <v>124</v>
      </c>
      <c r="H59" s="119" t="s">
        <v>124</v>
      </c>
      <c r="I59" s="119" t="s">
        <v>124</v>
      </c>
      <c r="J59" s="119" t="s">
        <v>124</v>
      </c>
      <c r="K59" s="119" t="s">
        <v>124</v>
      </c>
      <c r="L59" s="119" t="s">
        <v>124</v>
      </c>
      <c r="M59" s="119" t="s">
        <v>124</v>
      </c>
      <c r="N59" s="119" t="s">
        <v>124</v>
      </c>
      <c r="O59" s="119" t="s">
        <v>124</v>
      </c>
      <c r="P59" s="119" t="s">
        <v>124</v>
      </c>
      <c r="Q59" s="119" t="s">
        <v>124</v>
      </c>
      <c r="R59" s="1"/>
      <c r="S59" s="119" t="s">
        <v>124</v>
      </c>
      <c r="T59" s="119" t="s">
        <v>124</v>
      </c>
      <c r="U59" s="119" t="s">
        <v>124</v>
      </c>
      <c r="V59" s="119" t="s">
        <v>124</v>
      </c>
      <c r="W59" s="119" t="s">
        <v>124</v>
      </c>
      <c r="X59" s="119" t="s">
        <v>124</v>
      </c>
      <c r="Y59" s="119" t="s">
        <v>124</v>
      </c>
      <c r="Z59" s="119" t="s">
        <v>124</v>
      </c>
      <c r="AA59" s="6" t="s">
        <v>124</v>
      </c>
      <c r="AB59" s="6" t="s">
        <v>124</v>
      </c>
      <c r="AC59" s="98" t="s">
        <v>124</v>
      </c>
      <c r="AD59" s="14" t="s">
        <v>124</v>
      </c>
      <c r="AE59" s="10" t="s">
        <v>124</v>
      </c>
      <c r="AF59" s="10" t="s">
        <v>124</v>
      </c>
      <c r="AG59" s="10" t="s">
        <v>124</v>
      </c>
      <c r="AH59" s="10" t="s">
        <v>124</v>
      </c>
      <c r="AI59" s="10" t="s">
        <v>124</v>
      </c>
      <c r="AJ59" s="98" t="s">
        <v>124</v>
      </c>
      <c r="AK59" s="98" t="s">
        <v>124</v>
      </c>
      <c r="AL59" s="98" t="s">
        <v>124</v>
      </c>
    </row>
    <row r="60" spans="4:38">
      <c r="D60" s="4" t="s">
        <v>434</v>
      </c>
      <c r="E60" s="119" t="s">
        <v>124</v>
      </c>
      <c r="F60" s="6">
        <v>293</v>
      </c>
      <c r="G60" s="6">
        <v>1555</v>
      </c>
      <c r="H60" s="6">
        <v>3992</v>
      </c>
      <c r="I60" s="119" t="s">
        <v>124</v>
      </c>
      <c r="J60" s="119" t="s">
        <v>124</v>
      </c>
      <c r="K60" s="119" t="s">
        <v>124</v>
      </c>
      <c r="L60" s="119" t="s">
        <v>124</v>
      </c>
      <c r="M60" s="119" t="s">
        <v>124</v>
      </c>
      <c r="N60" s="98">
        <v>360</v>
      </c>
      <c r="O60" s="98" t="s">
        <v>124</v>
      </c>
      <c r="P60" s="98" t="s">
        <v>124</v>
      </c>
      <c r="Q60" s="98" t="s">
        <v>124</v>
      </c>
      <c r="R60" s="1"/>
      <c r="S60" s="119" t="s">
        <v>124</v>
      </c>
      <c r="T60" s="119" t="s">
        <v>124</v>
      </c>
      <c r="U60" s="119" t="s">
        <v>124</v>
      </c>
      <c r="V60" s="119" t="s">
        <v>124</v>
      </c>
      <c r="W60" s="119" t="s">
        <v>124</v>
      </c>
      <c r="X60" s="119" t="s">
        <v>124</v>
      </c>
      <c r="Y60" s="6">
        <v>360</v>
      </c>
      <c r="Z60" s="97" t="s">
        <v>124</v>
      </c>
      <c r="AA60" s="6" t="s">
        <v>124</v>
      </c>
      <c r="AB60" s="6" t="s">
        <v>124</v>
      </c>
      <c r="AC60" s="98" t="s">
        <v>124</v>
      </c>
      <c r="AD60" s="98" t="s">
        <v>124</v>
      </c>
      <c r="AE60" s="98" t="s">
        <v>124</v>
      </c>
      <c r="AF60" s="98" t="s">
        <v>124</v>
      </c>
      <c r="AG60" s="98" t="s">
        <v>124</v>
      </c>
      <c r="AH60" s="98" t="s">
        <v>124</v>
      </c>
      <c r="AI60" s="98" t="s">
        <v>124</v>
      </c>
      <c r="AJ60" s="98" t="s">
        <v>124</v>
      </c>
      <c r="AK60" s="98" t="s">
        <v>124</v>
      </c>
      <c r="AL60" s="98" t="s">
        <v>124</v>
      </c>
    </row>
    <row r="61" spans="4:38">
      <c r="D61" s="4" t="s">
        <v>435</v>
      </c>
      <c r="E61" s="119" t="s">
        <v>124</v>
      </c>
      <c r="F61" s="6">
        <v>-88</v>
      </c>
      <c r="G61" s="6">
        <v>-978</v>
      </c>
      <c r="H61" s="6">
        <v>-2488</v>
      </c>
      <c r="I61" s="6">
        <v>-1189</v>
      </c>
      <c r="J61" s="6">
        <v>785</v>
      </c>
      <c r="K61" s="6">
        <v>2558</v>
      </c>
      <c r="L61" s="6">
        <v>-1985</v>
      </c>
      <c r="M61" s="119" t="s">
        <v>124</v>
      </c>
      <c r="N61" s="97" t="s">
        <v>124</v>
      </c>
      <c r="O61" s="97" t="s">
        <v>124</v>
      </c>
      <c r="P61" s="97" t="s">
        <v>124</v>
      </c>
      <c r="Q61" s="97" t="s">
        <v>124</v>
      </c>
      <c r="R61" s="1"/>
      <c r="S61" s="119" t="s">
        <v>124</v>
      </c>
      <c r="T61" s="119" t="s">
        <v>124</v>
      </c>
      <c r="U61" s="119" t="s">
        <v>124</v>
      </c>
      <c r="V61" s="119" t="s">
        <v>124</v>
      </c>
      <c r="W61" s="119" t="s">
        <v>124</v>
      </c>
      <c r="X61" s="119" t="s">
        <v>124</v>
      </c>
      <c r="Y61" s="119" t="s">
        <v>124</v>
      </c>
      <c r="Z61" s="119" t="s">
        <v>124</v>
      </c>
      <c r="AA61" s="6" t="s">
        <v>124</v>
      </c>
      <c r="AB61" s="6" t="s">
        <v>124</v>
      </c>
      <c r="AC61" s="98" t="s">
        <v>124</v>
      </c>
      <c r="AD61" s="98" t="s">
        <v>124</v>
      </c>
      <c r="AE61" s="98" t="s">
        <v>124</v>
      </c>
      <c r="AF61" s="98" t="s">
        <v>124</v>
      </c>
      <c r="AG61" s="98" t="s">
        <v>124</v>
      </c>
      <c r="AH61" s="98" t="s">
        <v>124</v>
      </c>
      <c r="AI61" s="98" t="s">
        <v>124</v>
      </c>
      <c r="AJ61" s="98" t="s">
        <v>124</v>
      </c>
      <c r="AK61" s="98" t="s">
        <v>124</v>
      </c>
      <c r="AL61" s="98" t="s">
        <v>124</v>
      </c>
    </row>
    <row r="62" spans="4:38">
      <c r="D62" s="4" t="s">
        <v>436</v>
      </c>
      <c r="E62" s="119" t="s">
        <v>124</v>
      </c>
      <c r="F62" s="119" t="s">
        <v>124</v>
      </c>
      <c r="G62" s="119" t="s">
        <v>124</v>
      </c>
      <c r="H62" s="119" t="s">
        <v>124</v>
      </c>
      <c r="I62" s="119" t="s">
        <v>124</v>
      </c>
      <c r="J62" s="119" t="s">
        <v>124</v>
      </c>
      <c r="K62" s="119" t="s">
        <v>124</v>
      </c>
      <c r="L62" s="119" t="s">
        <v>124</v>
      </c>
      <c r="M62" s="6">
        <v>-8806</v>
      </c>
      <c r="N62" s="98">
        <v>-15015</v>
      </c>
      <c r="O62" s="98">
        <v>-21127</v>
      </c>
      <c r="P62" s="98">
        <v>-10792</v>
      </c>
      <c r="Q62" s="97" t="s">
        <v>124</v>
      </c>
      <c r="R62" s="1"/>
      <c r="S62" s="6">
        <v>-524</v>
      </c>
      <c r="T62" s="119" t="s">
        <v>124</v>
      </c>
      <c r="U62" s="119" t="s">
        <v>124</v>
      </c>
      <c r="V62" s="6">
        <v>-8282</v>
      </c>
      <c r="W62" s="6">
        <v>-4682</v>
      </c>
      <c r="X62" s="6">
        <v>-1745</v>
      </c>
      <c r="Y62" s="6">
        <v>-1653</v>
      </c>
      <c r="Z62" s="6">
        <v>-6935</v>
      </c>
      <c r="AA62" s="6">
        <v>-9256</v>
      </c>
      <c r="AB62" s="6">
        <v>-2227</v>
      </c>
      <c r="AC62" s="6">
        <v>-3899</v>
      </c>
      <c r="AD62" s="6">
        <v>-5745</v>
      </c>
      <c r="AE62" s="6">
        <v>-360</v>
      </c>
      <c r="AF62" s="98" t="s">
        <v>124</v>
      </c>
      <c r="AG62" s="6">
        <v>-335</v>
      </c>
      <c r="AH62" s="6">
        <v>-10097</v>
      </c>
      <c r="AI62" s="98" t="s">
        <v>124</v>
      </c>
      <c r="AJ62" s="98" t="s">
        <v>124</v>
      </c>
      <c r="AK62" s="98" t="s">
        <v>124</v>
      </c>
      <c r="AL62" s="98" t="s">
        <v>124</v>
      </c>
    </row>
    <row r="63" spans="4:38">
      <c r="D63" s="4" t="s">
        <v>437</v>
      </c>
      <c r="E63" s="119" t="s">
        <v>124</v>
      </c>
      <c r="F63" s="119" t="s">
        <v>124</v>
      </c>
      <c r="G63" s="119" t="s">
        <v>124</v>
      </c>
      <c r="H63" s="119" t="s">
        <v>124</v>
      </c>
      <c r="I63" s="119" t="s">
        <v>124</v>
      </c>
      <c r="J63" s="119" t="s">
        <v>124</v>
      </c>
      <c r="K63" s="119" t="s">
        <v>124</v>
      </c>
      <c r="L63" s="119" t="s">
        <v>124</v>
      </c>
      <c r="M63" s="6">
        <v>4114</v>
      </c>
      <c r="N63" s="98">
        <v>15475</v>
      </c>
      <c r="O63" s="98">
        <v>26157</v>
      </c>
      <c r="P63" s="98">
        <v>4115</v>
      </c>
      <c r="Q63" s="98">
        <v>10269</v>
      </c>
      <c r="R63" s="1"/>
      <c r="S63" s="6">
        <v>1147</v>
      </c>
      <c r="T63" s="6">
        <v>2442</v>
      </c>
      <c r="U63" s="6">
        <v>524</v>
      </c>
      <c r="V63" s="6">
        <v>1</v>
      </c>
      <c r="W63" s="6">
        <v>4943</v>
      </c>
      <c r="X63" s="6">
        <v>4615</v>
      </c>
      <c r="Y63" s="6">
        <v>1853</v>
      </c>
      <c r="Z63" s="6">
        <v>4064</v>
      </c>
      <c r="AA63" s="6">
        <v>10074</v>
      </c>
      <c r="AB63" s="6">
        <v>2555</v>
      </c>
      <c r="AC63" s="6">
        <v>2294</v>
      </c>
      <c r="AD63" s="6">
        <v>11234</v>
      </c>
      <c r="AE63" s="6">
        <v>3781</v>
      </c>
      <c r="AF63" s="98" t="s">
        <v>124</v>
      </c>
      <c r="AG63" s="6">
        <v>335</v>
      </c>
      <c r="AH63" s="6">
        <v>-1</v>
      </c>
      <c r="AI63" s="6">
        <v>288</v>
      </c>
      <c r="AJ63" s="6">
        <v>5938</v>
      </c>
      <c r="AK63" s="6">
        <v>3474</v>
      </c>
      <c r="AL63" s="6">
        <v>569</v>
      </c>
    </row>
    <row r="64" spans="4:38">
      <c r="D64" s="4" t="s">
        <v>222</v>
      </c>
      <c r="E64" s="6">
        <v>-356</v>
      </c>
      <c r="F64" s="6">
        <v>181</v>
      </c>
      <c r="G64" s="6">
        <v>895</v>
      </c>
      <c r="H64" s="6">
        <v>632</v>
      </c>
      <c r="I64" s="6">
        <v>361</v>
      </c>
      <c r="J64" s="6">
        <v>271</v>
      </c>
      <c r="K64" s="6">
        <v>1033</v>
      </c>
      <c r="L64" s="6">
        <v>112</v>
      </c>
      <c r="M64" s="6">
        <v>-396</v>
      </c>
      <c r="N64" s="98">
        <v>905</v>
      </c>
      <c r="O64" s="98">
        <v>726</v>
      </c>
      <c r="P64" s="98">
        <v>376</v>
      </c>
      <c r="Q64" s="98">
        <v>-368</v>
      </c>
      <c r="R64" s="1"/>
      <c r="S64" s="6">
        <v>418</v>
      </c>
      <c r="T64" s="6">
        <v>-267</v>
      </c>
      <c r="U64" s="6">
        <v>-185</v>
      </c>
      <c r="V64" s="6">
        <v>-362</v>
      </c>
      <c r="W64" s="6">
        <v>-271</v>
      </c>
      <c r="X64" s="6">
        <v>198</v>
      </c>
      <c r="Y64" s="6">
        <v>658</v>
      </c>
      <c r="Z64" s="98">
        <v>320</v>
      </c>
      <c r="AA64" s="98">
        <v>28</v>
      </c>
      <c r="AB64" s="98">
        <v>460</v>
      </c>
      <c r="AC64" s="98">
        <v>-149</v>
      </c>
      <c r="AD64" s="98">
        <v>388</v>
      </c>
      <c r="AE64" s="98">
        <v>638</v>
      </c>
      <c r="AF64" s="98">
        <v>186</v>
      </c>
      <c r="AG64" s="98">
        <v>232</v>
      </c>
      <c r="AH64" s="98">
        <v>-680</v>
      </c>
      <c r="AI64" s="98">
        <v>-140</v>
      </c>
      <c r="AJ64" s="98">
        <v>-176</v>
      </c>
      <c r="AK64" s="98">
        <v>692</v>
      </c>
      <c r="AL64" s="98">
        <v>-744</v>
      </c>
    </row>
    <row r="65" spans="4:38">
      <c r="D65" s="137" t="s">
        <v>438</v>
      </c>
      <c r="E65" s="138">
        <v>456</v>
      </c>
      <c r="F65" s="138">
        <v>5677</v>
      </c>
      <c r="G65" s="138">
        <v>3641</v>
      </c>
      <c r="H65" s="138">
        <v>1445</v>
      </c>
      <c r="I65" s="138">
        <v>5792</v>
      </c>
      <c r="J65" s="138">
        <v>1333</v>
      </c>
      <c r="K65" s="138">
        <v>-743</v>
      </c>
      <c r="L65" s="138">
        <v>-831</v>
      </c>
      <c r="M65" s="138">
        <f>SUM(M49:M64)</f>
        <v>-834</v>
      </c>
      <c r="N65" s="139">
        <v>1178</v>
      </c>
      <c r="O65" s="139">
        <f>SUM(O50:O64)</f>
        <v>3929</v>
      </c>
      <c r="P65" s="139">
        <v>-5251</v>
      </c>
      <c r="Q65" s="139">
        <v>5916</v>
      </c>
      <c r="R65" s="1"/>
      <c r="S65" s="109">
        <v>741</v>
      </c>
      <c r="T65" s="138">
        <v>3446</v>
      </c>
      <c r="U65" s="138">
        <v>-241</v>
      </c>
      <c r="V65" s="138">
        <v>-4780</v>
      </c>
      <c r="W65" s="138">
        <v>-620</v>
      </c>
      <c r="X65" s="138">
        <v>-6837</v>
      </c>
      <c r="Y65" s="138">
        <v>-3609</v>
      </c>
      <c r="Z65" s="139">
        <v>12244</v>
      </c>
      <c r="AA65" s="139">
        <v>500</v>
      </c>
      <c r="AB65" s="139">
        <v>2326</v>
      </c>
      <c r="AC65" s="139">
        <v>-2981</v>
      </c>
      <c r="AD65" s="139">
        <v>5124</v>
      </c>
      <c r="AE65" s="139">
        <v>3906</v>
      </c>
      <c r="AF65" s="139">
        <v>195.00000000000017</v>
      </c>
      <c r="AG65" s="139">
        <v>-213</v>
      </c>
      <c r="AH65" s="139">
        <v>-9139</v>
      </c>
      <c r="AI65" s="139">
        <v>-344</v>
      </c>
      <c r="AJ65" s="139">
        <v>3814</v>
      </c>
      <c r="AK65" s="139">
        <v>3364</v>
      </c>
      <c r="AL65" s="139">
        <v>-918</v>
      </c>
    </row>
    <row r="66" spans="4:38">
      <c r="D66" s="8" t="s">
        <v>439</v>
      </c>
      <c r="E66" s="109">
        <v>-4473</v>
      </c>
      <c r="F66" s="109">
        <v>5786</v>
      </c>
      <c r="G66" s="109">
        <v>-1125</v>
      </c>
      <c r="H66" s="109">
        <v>8679</v>
      </c>
      <c r="I66" s="109">
        <v>12307</v>
      </c>
      <c r="J66" s="109">
        <v>-2467</v>
      </c>
      <c r="K66" s="109">
        <v>3962</v>
      </c>
      <c r="L66" s="109">
        <v>10742</v>
      </c>
      <c r="M66" s="109">
        <f>+M46+M65</f>
        <v>12448</v>
      </c>
      <c r="N66" s="102">
        <v>-3707</v>
      </c>
      <c r="O66" s="102">
        <v>-1090</v>
      </c>
      <c r="P66" s="102">
        <v>-14226</v>
      </c>
      <c r="Q66" s="102">
        <v>7043</v>
      </c>
      <c r="R66" s="1"/>
      <c r="S66" s="115">
        <v>-14653</v>
      </c>
      <c r="T66" s="115">
        <v>6037</v>
      </c>
      <c r="U66" s="115">
        <v>9907</v>
      </c>
      <c r="V66" s="115">
        <v>11157</v>
      </c>
      <c r="W66" s="115">
        <v>-7510</v>
      </c>
      <c r="X66" s="115">
        <v>-6846</v>
      </c>
      <c r="Y66" s="115">
        <v>-12836</v>
      </c>
      <c r="Z66" s="102">
        <v>23485</v>
      </c>
      <c r="AA66" s="102">
        <v>-11772</v>
      </c>
      <c r="AB66" s="102">
        <v>-3274</v>
      </c>
      <c r="AC66" s="102">
        <v>256</v>
      </c>
      <c r="AD66" s="102">
        <v>13700</v>
      </c>
      <c r="AE66" s="102">
        <v>-13543</v>
      </c>
      <c r="AF66" s="102">
        <v>879.00000000000023</v>
      </c>
      <c r="AG66" s="102">
        <v>1516</v>
      </c>
      <c r="AH66" s="102">
        <v>-3078</v>
      </c>
      <c r="AI66" s="102">
        <v>-12545</v>
      </c>
      <c r="AJ66" s="102">
        <v>3933</v>
      </c>
      <c r="AK66" s="102">
        <v>2963</v>
      </c>
      <c r="AL66" s="102">
        <v>12692</v>
      </c>
    </row>
    <row r="67" spans="4:38">
      <c r="D67" s="4"/>
      <c r="E67" s="6"/>
      <c r="F67" s="6"/>
      <c r="G67" s="6"/>
      <c r="H67" s="6"/>
      <c r="I67" s="6"/>
      <c r="J67" s="117"/>
      <c r="K67" s="6"/>
      <c r="L67" s="6"/>
      <c r="M67" s="6"/>
      <c r="N67" s="98"/>
      <c r="O67" s="222"/>
      <c r="P67" s="222"/>
      <c r="Q67" s="222"/>
      <c r="R67" s="1"/>
      <c r="S67" s="6"/>
      <c r="T67" s="6"/>
      <c r="U67" s="10"/>
      <c r="V67" s="6"/>
      <c r="W67" s="98"/>
      <c r="X67" s="98"/>
      <c r="Y67" s="98"/>
      <c r="Z67" s="98"/>
      <c r="AA67" s="98"/>
      <c r="AB67" s="98"/>
      <c r="AE67" s="161"/>
    </row>
    <row r="68" spans="4:38" ht="59.15" customHeight="1">
      <c r="D68" s="137" t="s">
        <v>440</v>
      </c>
      <c r="E68" s="138">
        <v>14634</v>
      </c>
      <c r="F68" s="138">
        <v>9607</v>
      </c>
      <c r="G68" s="138">
        <v>17533</v>
      </c>
      <c r="H68" s="138">
        <v>17002</v>
      </c>
      <c r="I68" s="138">
        <v>25623</v>
      </c>
      <c r="J68" s="138">
        <v>38635</v>
      </c>
      <c r="K68" s="138">
        <v>35402</v>
      </c>
      <c r="L68" s="138">
        <v>40170</v>
      </c>
      <c r="M68" s="138">
        <v>51997</v>
      </c>
      <c r="N68" s="139">
        <v>61592</v>
      </c>
      <c r="O68" s="139">
        <v>62265</v>
      </c>
      <c r="P68" s="139">
        <v>63743</v>
      </c>
      <c r="Q68" s="139">
        <v>47861</v>
      </c>
      <c r="R68" s="1"/>
      <c r="S68" s="138">
        <v>51997</v>
      </c>
      <c r="T68" s="138">
        <v>38885</v>
      </c>
      <c r="U68" s="138">
        <v>43288</v>
      </c>
      <c r="V68" s="138">
        <v>53071.671000000002</v>
      </c>
      <c r="W68" s="138">
        <v>61592</v>
      </c>
      <c r="X68" s="138">
        <v>56211</v>
      </c>
      <c r="Y68" s="138">
        <v>48450</v>
      </c>
      <c r="Z68" s="139">
        <v>36403</v>
      </c>
      <c r="AA68" s="139">
        <v>62265</v>
      </c>
      <c r="AB68" s="139">
        <v>51418</v>
      </c>
      <c r="AC68" s="139">
        <v>50035</v>
      </c>
      <c r="AD68" s="139">
        <v>50348</v>
      </c>
      <c r="AE68" s="139">
        <v>63743</v>
      </c>
      <c r="AF68" s="139">
        <v>50323</v>
      </c>
      <c r="AG68" s="139">
        <v>51701</v>
      </c>
      <c r="AH68" s="139">
        <v>52766</v>
      </c>
      <c r="AI68" s="139">
        <v>47861</v>
      </c>
      <c r="AJ68" s="139">
        <v>36053</v>
      </c>
      <c r="AK68" s="139">
        <v>39911</v>
      </c>
      <c r="AL68" s="139">
        <v>42965</v>
      </c>
    </row>
    <row r="69" spans="4:38" ht="15" thickBot="1">
      <c r="D69" s="141" t="s">
        <v>441</v>
      </c>
      <c r="E69" s="142">
        <v>-554</v>
      </c>
      <c r="F69" s="143">
        <v>-21</v>
      </c>
      <c r="G69" s="142">
        <v>594</v>
      </c>
      <c r="H69" s="142">
        <v>-58</v>
      </c>
      <c r="I69" s="142">
        <v>705</v>
      </c>
      <c r="J69" s="142">
        <v>-766</v>
      </c>
      <c r="K69" s="142">
        <v>806</v>
      </c>
      <c r="L69" s="142">
        <v>1085</v>
      </c>
      <c r="M69" s="142">
        <v>-2853</v>
      </c>
      <c r="N69" s="144">
        <v>4380</v>
      </c>
      <c r="O69" s="144">
        <v>2568</v>
      </c>
      <c r="P69" s="144">
        <v>-1656</v>
      </c>
      <c r="Q69" s="144">
        <v>1469</v>
      </c>
      <c r="R69" s="1"/>
      <c r="S69" s="142">
        <v>1541</v>
      </c>
      <c r="T69" s="142">
        <v>-1634</v>
      </c>
      <c r="U69" s="142">
        <v>-216</v>
      </c>
      <c r="V69" s="142">
        <v>-2544</v>
      </c>
      <c r="W69" s="142">
        <v>2129</v>
      </c>
      <c r="X69" s="142">
        <v>-915</v>
      </c>
      <c r="Y69" s="142">
        <v>789</v>
      </c>
      <c r="Z69" s="144">
        <v>2377</v>
      </c>
      <c r="AA69" s="144">
        <v>925</v>
      </c>
      <c r="AB69" s="144">
        <v>1891</v>
      </c>
      <c r="AC69" s="144">
        <v>57</v>
      </c>
      <c r="AD69" s="144">
        <v>-305</v>
      </c>
      <c r="AE69" s="144">
        <v>123</v>
      </c>
      <c r="AF69" s="144">
        <v>499</v>
      </c>
      <c r="AG69" s="144">
        <v>-451</v>
      </c>
      <c r="AH69" s="144">
        <v>-1827</v>
      </c>
      <c r="AI69" s="144">
        <v>737</v>
      </c>
      <c r="AJ69" s="144">
        <v>-75</v>
      </c>
      <c r="AK69" s="144">
        <v>91</v>
      </c>
      <c r="AL69" s="144">
        <v>716</v>
      </c>
    </row>
    <row r="70" spans="4:38" ht="15" thickTop="1">
      <c r="D70" s="8" t="s">
        <v>442</v>
      </c>
      <c r="E70" s="109">
        <v>9607</v>
      </c>
      <c r="F70" s="109">
        <v>15372</v>
      </c>
      <c r="G70" s="109">
        <v>17002</v>
      </c>
      <c r="H70" s="109">
        <v>25623</v>
      </c>
      <c r="I70" s="109">
        <v>38635</v>
      </c>
      <c r="J70" s="109">
        <v>35402</v>
      </c>
      <c r="K70" s="109">
        <v>40170</v>
      </c>
      <c r="L70" s="109">
        <v>51997</v>
      </c>
      <c r="M70" s="109">
        <f>+M66+M68+M69</f>
        <v>61592</v>
      </c>
      <c r="N70" s="102">
        <v>62265</v>
      </c>
      <c r="O70" s="102">
        <v>63743</v>
      </c>
      <c r="P70" s="102">
        <v>47861</v>
      </c>
      <c r="Q70" s="102">
        <v>56373</v>
      </c>
      <c r="R70" s="1"/>
      <c r="S70" s="145">
        <v>38885</v>
      </c>
      <c r="T70" s="145">
        <v>43288</v>
      </c>
      <c r="U70" s="220">
        <v>53071.671000000002</v>
      </c>
      <c r="V70" s="220">
        <v>61592</v>
      </c>
      <c r="W70" s="145">
        <v>56211</v>
      </c>
      <c r="X70" s="145">
        <v>48450</v>
      </c>
      <c r="Y70" s="146">
        <v>36403</v>
      </c>
      <c r="Z70" s="102">
        <v>62265</v>
      </c>
      <c r="AA70" s="102">
        <v>51418</v>
      </c>
      <c r="AB70" s="102">
        <v>50035</v>
      </c>
      <c r="AC70" s="102">
        <v>50348</v>
      </c>
      <c r="AD70" s="102">
        <v>63743</v>
      </c>
      <c r="AE70" s="102">
        <v>50323</v>
      </c>
      <c r="AF70" s="102">
        <v>51701</v>
      </c>
      <c r="AG70" s="102">
        <v>52766</v>
      </c>
      <c r="AH70" s="102">
        <v>47861</v>
      </c>
      <c r="AI70" s="102">
        <v>36053</v>
      </c>
      <c r="AJ70" s="102">
        <v>39911</v>
      </c>
      <c r="AK70" s="102">
        <v>42965</v>
      </c>
      <c r="AL70" s="102">
        <v>56373</v>
      </c>
    </row>
    <row r="71" spans="4:38">
      <c r="N71" s="147"/>
      <c r="O71" s="147"/>
      <c r="P71" s="223"/>
      <c r="Q71" s="223"/>
      <c r="R71" s="1"/>
      <c r="W71" s="147"/>
      <c r="X71" s="147"/>
      <c r="Y71" s="148"/>
      <c r="Z71" s="147"/>
      <c r="AA71" s="147"/>
      <c r="AB71" s="147"/>
    </row>
    <row r="72" spans="4:38">
      <c r="D72" s="105"/>
      <c r="M72" s="127"/>
      <c r="N72" s="127"/>
      <c r="O72" s="127"/>
      <c r="P72" s="270"/>
      <c r="Q72" s="270"/>
      <c r="R72" s="1"/>
      <c r="S72" s="127"/>
      <c r="T72" s="127"/>
      <c r="U72" s="127"/>
      <c r="V72" s="127"/>
      <c r="W72" s="127"/>
      <c r="X72" s="127"/>
      <c r="Y72" s="122"/>
      <c r="Z72" s="127"/>
      <c r="AA72" s="127"/>
      <c r="AB72" s="127"/>
    </row>
    <row r="73" spans="4:38" ht="40.5" customHeight="1">
      <c r="D73" s="105" t="s">
        <v>359</v>
      </c>
      <c r="M73" s="127"/>
      <c r="N73" s="127"/>
      <c r="O73" s="127"/>
      <c r="P73" s="270"/>
      <c r="Q73" s="270"/>
      <c r="R73" s="1"/>
      <c r="S73" s="149"/>
      <c r="T73" s="149"/>
      <c r="U73" s="149"/>
      <c r="V73" s="149"/>
      <c r="W73" s="149"/>
      <c r="X73" s="149"/>
      <c r="Y73" s="150"/>
      <c r="Z73" s="127"/>
      <c r="AA73" s="127"/>
      <c r="AB73" s="127"/>
    </row>
    <row r="74" spans="4:38" ht="57.75" customHeight="1">
      <c r="D74" s="105" t="s">
        <v>360</v>
      </c>
      <c r="M74" s="127"/>
      <c r="N74" s="127"/>
      <c r="O74" s="127"/>
      <c r="P74" s="270"/>
      <c r="Q74" s="270"/>
      <c r="R74" s="1"/>
      <c r="S74" s="127"/>
      <c r="T74" s="127"/>
      <c r="U74" s="127"/>
      <c r="V74" s="127"/>
      <c r="W74" s="127"/>
      <c r="X74" s="127"/>
      <c r="Y74" s="122"/>
      <c r="Z74" s="127"/>
      <c r="AA74" s="127"/>
      <c r="AB74" s="127"/>
    </row>
    <row r="75" spans="4:38" ht="91.5" customHeight="1">
      <c r="D75" s="105" t="s">
        <v>443</v>
      </c>
      <c r="R75" s="1"/>
    </row>
    <row r="76" spans="4:38" ht="63.75" customHeight="1">
      <c r="D76" s="105" t="s">
        <v>444</v>
      </c>
    </row>
    <row r="77" spans="4:38" ht="31">
      <c r="D77" s="93" t="s">
        <v>445</v>
      </c>
    </row>
    <row r="78" spans="4:38" ht="45.5">
      <c r="D78" s="93" t="s">
        <v>446</v>
      </c>
    </row>
  </sheetData>
  <mergeCells count="2">
    <mergeCell ref="E8:L8"/>
    <mergeCell ref="S8:Y8"/>
  </mergeCells>
  <pageMargins left="0.7" right="0.7" top="0.75" bottom="0.75" header="0.3" footer="0.3"/>
  <pageSetup paperSize="9" orientation="portrait" r:id="rId1"/>
  <customProperties>
    <customPr name="_pios_i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c8f47d-535d-45cb-b25a-a4963ce16b90">
      <Terms xmlns="http://schemas.microsoft.com/office/infopath/2007/PartnerControls"/>
    </lcf76f155ced4ddcb4097134ff3c332f>
    <TaxCatchAll xmlns="4e3470d1-1794-477f-9531-e667d23dbdc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B5779816A04245AF9871C51BBCBCCF" ma:contentTypeVersion="15" ma:contentTypeDescription="Create a new document." ma:contentTypeScope="" ma:versionID="c36b1e0043b26d5275b6ee3416f06eef">
  <xsd:schema xmlns:xsd="http://www.w3.org/2001/XMLSchema" xmlns:xs="http://www.w3.org/2001/XMLSchema" xmlns:p="http://schemas.microsoft.com/office/2006/metadata/properties" xmlns:ns2="cac8f47d-535d-45cb-b25a-a4963ce16b90" xmlns:ns3="4e3470d1-1794-477f-9531-e667d23dbdcb" targetNamespace="http://schemas.microsoft.com/office/2006/metadata/properties" ma:root="true" ma:fieldsID="98a5663d61fab8d5584dbd6fc8f98a95" ns2:_="" ns3:_="">
    <xsd:import namespace="cac8f47d-535d-45cb-b25a-a4963ce16b90"/>
    <xsd:import namespace="4e3470d1-1794-477f-9531-e667d23dbd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8f47d-535d-45cb-b25a-a4963ce16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e4d33d-dec1-45ff-a4f4-aeb68653195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470d1-1794-477f-9531-e667d23dbdc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96375d1-adfe-4965-b11e-163937453fe7}" ma:internalName="TaxCatchAll" ma:showField="CatchAllData" ma:web="4e3470d1-1794-477f-9531-e667d23dbdcb">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CC0A57-A4EB-42E2-AC50-B5228ED717A8}">
  <ds:schemaRefs>
    <ds:schemaRef ds:uri="http://www.w3.org/XML/1998/namespace"/>
    <ds:schemaRef ds:uri="http://schemas.microsoft.com/office/2006/documentManagement/types"/>
    <ds:schemaRef ds:uri="7818592f-8ba0-434c-adb2-44171b4fbe98"/>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285BA573-E928-431F-A10D-331FD3961797}"/>
</file>

<file path=customXml/itemProps3.xml><?xml version="1.0" encoding="utf-8"?>
<ds:datastoreItem xmlns:ds="http://schemas.openxmlformats.org/officeDocument/2006/customXml" ds:itemID="{14EC7223-4192-41F3-B059-BB86895C2A5E}">
  <ds:schemaRefs>
    <ds:schemaRef ds:uri="http://schemas.microsoft.com/sharepoint/v3/contenttype/forms"/>
  </ds:schemaRefs>
</ds:datastoreItem>
</file>

<file path=docMetadata/LabelInfo.xml><?xml version="1.0" encoding="utf-8"?>
<clbl:labelList xmlns:clbl="http://schemas.microsoft.com/office/2020/mipLabelMetadata">
  <clbl:label id="{ba94f817-ec12-46c8-8bf3-f32a3a95cbd7}" enabled="1" method="Privileged" siteId="{81fa766e-a349-4867-8bf4-ab35e250a0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13</vt:i4>
      </vt:variant>
    </vt:vector>
  </HeadingPairs>
  <TitlesOfParts>
    <vt:vector size="13" baseType="lpstr">
      <vt:lpstr>Content</vt:lpstr>
      <vt:lpstr>General Definitions</vt:lpstr>
      <vt:lpstr>Key Figures Yearly</vt:lpstr>
      <vt:lpstr>Key Figures Quarterly</vt:lpstr>
      <vt:lpstr>Calc Key Figures</vt:lpstr>
      <vt:lpstr>Volume Quarterly</vt:lpstr>
      <vt:lpstr>Volume Monthly</vt:lpstr>
      <vt:lpstr>Revenue and EBIT walk</vt:lpstr>
      <vt:lpstr>Income Statement</vt:lpstr>
      <vt:lpstr>Revenue Geographical</vt:lpstr>
      <vt:lpstr>BS - Assets</vt:lpstr>
      <vt:lpstr>BS - Equity &amp; Liabilities</vt:lpstr>
      <vt:lpstr>Cash 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2025-02-06T10:05:00Z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Sensitivity">
    <vt:lpwstr>Public</vt:lpwstr>
  </property>
  <property fmtid="{D5CDD505-2E9C-101B-9397-08002B2CF9AE}" pid="5" name="MSIP_Label_57e687cc-f93a-416b-a813-dfd9fe80a0f5_Enabled">
    <vt:lpwstr>True</vt:lpwstr>
  </property>
  <property fmtid="{D5CDD505-2E9C-101B-9397-08002B2CF9AE}" pid="6" name="MSIP_Label_57e687cc-f93a-416b-a813-dfd9fe80a0f5_SiteId">
    <vt:lpwstr>ffeebe53-4714-40e9-81b1-cb5984a2ddfd</vt:lpwstr>
  </property>
  <property fmtid="{D5CDD505-2E9C-101B-9397-08002B2CF9AE}" pid="7" name="MSIP_Label_57e687cc-f93a-416b-a813-dfd9fe80a0f5_Owner">
    <vt:lpwstr>anne-liis.malmberg@investisdigital.com</vt:lpwstr>
  </property>
  <property fmtid="{D5CDD505-2E9C-101B-9397-08002B2CF9AE}" pid="8" name="MSIP_Label_57e687cc-f93a-416b-a813-dfd9fe80a0f5_SetDate">
    <vt:lpwstr>2019-07-17T15:08:33.5700812Z</vt:lpwstr>
  </property>
  <property fmtid="{D5CDD505-2E9C-101B-9397-08002B2CF9AE}" pid="9" name="MSIP_Label_57e687cc-f93a-416b-a813-dfd9fe80a0f5_Name">
    <vt:lpwstr>Business</vt:lpwstr>
  </property>
  <property fmtid="{D5CDD505-2E9C-101B-9397-08002B2CF9AE}" pid="10" name="MSIP_Label_57e687cc-f93a-416b-a813-dfd9fe80a0f5_Application">
    <vt:lpwstr>Microsoft Azure Information Protection</vt:lpwstr>
  </property>
  <property fmtid="{D5CDD505-2E9C-101B-9397-08002B2CF9AE}" pid="11" name="MSIP_Label_57e687cc-f93a-416b-a813-dfd9fe80a0f5_Extended_MSFT_Method">
    <vt:lpwstr>Automatic</vt:lpwstr>
  </property>
  <property fmtid="{D5CDD505-2E9C-101B-9397-08002B2CF9AE}" pid="12" name="MSIP_Label_ba94f817-ec12-46c8-8bf3-f32a3a95cbd7_Enabled">
    <vt:lpwstr>True</vt:lpwstr>
  </property>
  <property fmtid="{D5CDD505-2E9C-101B-9397-08002B2CF9AE}" pid="13" name="MSIP_Label_ba94f817-ec12-46c8-8bf3-f32a3a95cbd7_SiteId">
    <vt:lpwstr>81fa766e-a349-4867-8bf4-ab35e250a08f</vt:lpwstr>
  </property>
  <property fmtid="{D5CDD505-2E9C-101B-9397-08002B2CF9AE}" pid="14" name="MSIP_Label_ba94f817-ec12-46c8-8bf3-f32a3a95cbd7_SetDate">
    <vt:lpwstr>2019-04-25T06:17:33.6292695Z</vt:lpwstr>
  </property>
  <property fmtid="{D5CDD505-2E9C-101B-9397-08002B2CF9AE}" pid="15" name="MSIP_Label_ba94f817-ec12-46c8-8bf3-f32a3a95cbd7_Name">
    <vt:lpwstr>Public</vt:lpwstr>
  </property>
  <property fmtid="{D5CDD505-2E9C-101B-9397-08002B2CF9AE}" pid="16" name="MSIP_Label_ba94f817-ec12-46c8-8bf3-f32a3a95cbd7_Extended_MSFT_Method">
    <vt:lpwstr>Manual</vt:lpwstr>
  </property>
  <property fmtid="{D5CDD505-2E9C-101B-9397-08002B2CF9AE}" pid="17" name="Classification">
    <vt:lpwstr>Business Public</vt:lpwstr>
  </property>
  <property fmtid="{D5CDD505-2E9C-101B-9397-08002B2CF9AE}" pid="18" name="ContentTypeId">
    <vt:lpwstr>0x010100FCB5779816A04245AF9871C51BBCBCCF</vt:lpwstr>
  </property>
  <property fmtid="{D5CDD505-2E9C-101B-9397-08002B2CF9AE}" pid="19" name="PowerlinkCOMAddIn.COMAddIn.WebAddinBridge.Options">
    <vt:lpwstr>{"port":52967,"version":"1.19.379"}</vt:lpwstr>
  </property>
  <property fmtid="{D5CDD505-2E9C-101B-9397-08002B2CF9AE}" pid="20" name="MediaServiceImageTags">
    <vt:lpwstr/>
  </property>
</Properties>
</file>